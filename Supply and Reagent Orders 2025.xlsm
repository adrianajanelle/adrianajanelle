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608" codeName="{E5D1E7B1-6628-F0F0-D09B-76B25B5F3CD3}"/>
  <workbookPr codeName="ThisWorkbook"/>
  <mc:AlternateContent xmlns:mc="http://schemas.openxmlformats.org/markup-compatibility/2006">
    <mc:Choice Requires="x15">
      <x15ac:absPath xmlns:x15ac="http://schemas.microsoft.com/office/spreadsheetml/2010/11/ac" url="/Users/adrianajanelle/Downloads/"/>
    </mc:Choice>
  </mc:AlternateContent>
  <xr:revisionPtr revIDLastSave="0" documentId="13_ncr:1_{589D58FA-3DDD-FD49-9FF8-D5880F89EAB7}" xr6:coauthVersionLast="47" xr6:coauthVersionMax="47" xr10:uidLastSave="{00000000-0000-0000-0000-000000000000}"/>
  <bookViews>
    <workbookView xWindow="0" yWindow="0" windowWidth="28800" windowHeight="18000" firstSheet="2" activeTab="2" xr2:uid="{00000000-000D-0000-FFFF-FFFF00000000}"/>
  </bookViews>
  <sheets>
    <sheet name="Backup;" sheetId="27" r:id="rId1"/>
    <sheet name="Supplies &amp; manuf." sheetId="24" r:id="rId2"/>
    <sheet name="Inventory 2025" sheetId="26" r:id="rId3"/>
    <sheet name="Sheet8" sheetId="18" r:id="rId4"/>
  </sheets>
  <definedNames>
    <definedName name="_xleta.FILTER" hidden="1" xlm="1">#NAME?</definedName>
    <definedName name="_xleta.T" hidden="1" xlm="1">#NAME?</definedName>
    <definedName name="Slicer_comment3111">#N/A</definedName>
    <definedName name="Slicer_comment31111">#N/A</definedName>
    <definedName name="Slicer_Month13111">#N/A</definedName>
    <definedName name="Slicer_Month131111">#N/A</definedName>
    <definedName name="Slicer_Status13111">#N/A</definedName>
    <definedName name="Slicer_Status13111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26" l="1"/>
  <c r="D7" i="26"/>
  <c r="D8" i="26"/>
  <c r="D9" i="26"/>
  <c r="D10" i="26"/>
  <c r="D11" i="26"/>
  <c r="D12" i="26"/>
  <c r="D13" i="26"/>
  <c r="D14" i="26"/>
  <c r="D15" i="26"/>
  <c r="D16" i="26"/>
  <c r="T6" i="27"/>
  <c r="D6" i="27"/>
  <c r="T16" i="26"/>
  <c r="T15" i="26"/>
  <c r="T6" i="26"/>
  <c r="T14" i="26"/>
  <c r="T7" i="26"/>
  <c r="T8" i="26"/>
  <c r="T9" i="26"/>
  <c r="T10" i="26"/>
  <c r="T11" i="26"/>
  <c r="T12" i="26"/>
  <c r="T13" i="26"/>
</calcChain>
</file>

<file path=xl/sharedStrings.xml><?xml version="1.0" encoding="utf-8"?>
<sst xmlns="http://schemas.openxmlformats.org/spreadsheetml/2006/main" count="499" uniqueCount="358">
  <si>
    <t>Order By</t>
  </si>
  <si>
    <t>Date ordered</t>
  </si>
  <si>
    <t>Month</t>
  </si>
  <si>
    <t xml:space="preserve">Item Description </t>
  </si>
  <si>
    <t>Manuf.</t>
  </si>
  <si>
    <t>Qty Ordered</t>
  </si>
  <si>
    <t>Received By</t>
  </si>
  <si>
    <t>Date Received</t>
  </si>
  <si>
    <t>Qty Rcvd</t>
  </si>
  <si>
    <t>Lot Number</t>
  </si>
  <si>
    <t>Manuf. Date</t>
  </si>
  <si>
    <t>Exp. Date</t>
  </si>
  <si>
    <t>Specification as Applicable</t>
  </si>
  <si>
    <t>Quar. Release Date.</t>
  </si>
  <si>
    <t>Release By</t>
  </si>
  <si>
    <t>Final Disposition</t>
  </si>
  <si>
    <t>Disp. Date</t>
  </si>
  <si>
    <t>Disp. Intl</t>
  </si>
  <si>
    <t>Status</t>
  </si>
  <si>
    <t>comment</t>
  </si>
  <si>
    <t>mgnt Review</t>
  </si>
  <si>
    <t>M.O</t>
  </si>
  <si>
    <t>CryoMacs Freezing Bags 250ml</t>
  </si>
  <si>
    <t>Miltenyi Biotec</t>
  </si>
  <si>
    <t>2 BX</t>
  </si>
  <si>
    <t>COA</t>
  </si>
  <si>
    <t>In Use</t>
  </si>
  <si>
    <t>Supplies</t>
  </si>
  <si>
    <t>Other:</t>
  </si>
  <si>
    <t>---Disinfectants &amp; Cleaning---</t>
  </si>
  <si>
    <t>Alcohol Wipes</t>
  </si>
  <si>
    <t>Cavicide Wipes XL</t>
  </si>
  <si>
    <t>Cell clean auto</t>
  </si>
  <si>
    <t>Clorox Bleach</t>
  </si>
  <si>
    <t>Isopropyl Alcohol 70%</t>
  </si>
  <si>
    <t>Peridox</t>
  </si>
  <si>
    <t>Paper Towels</t>
  </si>
  <si>
    <t>---Reagents &amp; Solutions---</t>
  </si>
  <si>
    <t>ACD-A</t>
  </si>
  <si>
    <t>Albutein Albumin (Human) 5%</t>
  </si>
  <si>
    <t>Albutein Albumin (Human) 25%</t>
  </si>
  <si>
    <t>AlbuRx 5 Albumin Human 5%</t>
  </si>
  <si>
    <t>Dextran 40</t>
  </si>
  <si>
    <t>DMSO</t>
  </si>
  <si>
    <t>DMSO CryoPur</t>
  </si>
  <si>
    <t>DMSO Stemsol 10ml</t>
  </si>
  <si>
    <t>DPBS (Ca &amp; Mg free)</t>
  </si>
  <si>
    <t>Heparin Preservative Free</t>
  </si>
  <si>
    <t>Hetastarch</t>
  </si>
  <si>
    <t>NERL High Purity Water</t>
  </si>
  <si>
    <t>Plasma Lyte A</t>
  </si>
  <si>
    <t>Saline 0.9% NACL 500ml</t>
  </si>
  <si>
    <t>Saline 0.9% NACL 1000ml</t>
  </si>
  <si>
    <t>Sterile Water for Irrigation</t>
  </si>
  <si>
    <t>Trypan Blue</t>
  </si>
  <si>
    <t>---CliniMACS &amp; BD Products---</t>
  </si>
  <si>
    <t>BD CD3 (SK7) Monoclonal Antibodies</t>
  </si>
  <si>
    <t>BD CD34 Controls</t>
  </si>
  <si>
    <t>BD CST Beads</t>
  </si>
  <si>
    <t>BD FACS 7 Color Setup Beads</t>
  </si>
  <si>
    <t>BD FACS Clean Solution</t>
  </si>
  <si>
    <t>BD FACS Flow Sheath Fluid</t>
  </si>
  <si>
    <t>BD Multi-Check CD4 Low Control</t>
  </si>
  <si>
    <t>BD Multi-Check Control</t>
  </si>
  <si>
    <t>BD Shut Down Solution</t>
  </si>
  <si>
    <t>BD Stem Cell Enumeration Kit</t>
  </si>
  <si>
    <t>H2O Grade water</t>
  </si>
  <si>
    <t>CliniMACS CD34 Reagent, HUD</t>
  </si>
  <si>
    <t>CliniMACS PBS EDTA Buffer, HUD</t>
  </si>
  <si>
    <t>CliniMACS Tubing Set Large Scale, HUD</t>
  </si>
  <si>
    <t>CliniMACS Tubing Set Regular Scale, HUD</t>
  </si>
  <si>
    <t>CliniMACS Transfusion Filter 40 uM</t>
  </si>
  <si>
    <t>Streck CD34 Controls</t>
  </si>
  <si>
    <t>MacsQuant Running Buffer 1.5L</t>
  </si>
  <si>
    <t>MacsQuant Washing&amp;storage solution kit</t>
  </si>
  <si>
    <t>MacsQuant Calibration Beads</t>
  </si>
  <si>
    <t>Macs Comp Bead Kit,anti-REA</t>
  </si>
  <si>
    <t>Macs Comp Bead Kit,anti-REA;100 tests</t>
  </si>
  <si>
    <t>CD34-PE Human REA 1164 100 tests</t>
  </si>
  <si>
    <t>CD45 -Fitc Human 100tests</t>
  </si>
  <si>
    <t>CD3-APC Human REA613 100 tests</t>
  </si>
  <si>
    <t>7-AAD staining Solution</t>
  </si>
  <si>
    <t>Red Blood Cell Lysis Solution</t>
  </si>
  <si>
    <t>Red blood Cell lysis Solution 50mL</t>
  </si>
  <si>
    <t>---Cultures &amp; Biological Testing---</t>
  </si>
  <si>
    <t>Blood Culture Aerobic</t>
  </si>
  <si>
    <t>Blood Culture Anaerobic</t>
  </si>
  <si>
    <t>Blood Culture Myco/F Lytic</t>
  </si>
  <si>
    <t>CD3 Chex Plus Controls</t>
  </si>
  <si>
    <t>Enviro Test Paddles</t>
  </si>
  <si>
    <t>Sampler H2O Gridded Filter</t>
  </si>
  <si>
    <t>---Syringes, Needles &amp; Accessories---</t>
  </si>
  <si>
    <t>Eclipse Needle</t>
  </si>
  <si>
    <t>Magellan Hypodermic Safety Needle</t>
  </si>
  <si>
    <t>Needle 18G x 1.5</t>
  </si>
  <si>
    <t>Needle 20G x 1.5</t>
  </si>
  <si>
    <t>Syringe 1ml</t>
  </si>
  <si>
    <t>Syringe 3ml</t>
  </si>
  <si>
    <t>Syringe 3mL tubing</t>
  </si>
  <si>
    <t>Syringe 5ml</t>
  </si>
  <si>
    <t>Syringe 6ml</t>
  </si>
  <si>
    <t>Syringe 10ml</t>
  </si>
  <si>
    <t>Syringe 12ml</t>
  </si>
  <si>
    <t>Syringe 20ml</t>
  </si>
  <si>
    <t>Syringe 30ml</t>
  </si>
  <si>
    <t>Syringe 35ml</t>
  </si>
  <si>
    <t>Syringe 50ml</t>
  </si>
  <si>
    <t>Syringe 60ml</t>
  </si>
  <si>
    <t>Syringe Cap Tip</t>
  </si>
  <si>
    <t>Sterile Scissors</t>
  </si>
  <si>
    <t>Syringe Monoject Softpack 60 mL luer lock  tip</t>
  </si>
  <si>
    <t>Cellpack DCL 10L</t>
  </si>
  <si>
    <t>Lycercell 5L</t>
  </si>
  <si>
    <t>Sulfolyser 1.5L</t>
  </si>
  <si>
    <t>AutoClean cell</t>
  </si>
  <si>
    <t>Fluorocell WDF</t>
  </si>
  <si>
    <t>Control Immunotrol pos 60 lw</t>
  </si>
  <si>
    <t xml:space="preserve">Control Immunotrol pos 60 </t>
  </si>
  <si>
    <t>---Bags &amp; Fluid Transfer---</t>
  </si>
  <si>
    <t>Blood Bag Spike</t>
  </si>
  <si>
    <t>Blood Filter 170 Micron</t>
  </si>
  <si>
    <t>Blood Transfer Device</t>
  </si>
  <si>
    <t>Cell Wash Infusion Set</t>
  </si>
  <si>
    <t>Conical Bags 2500ml</t>
  </si>
  <si>
    <t>CryoMacs Freezing Bags 50ml</t>
  </si>
  <si>
    <t>CryoMacs Freezing Bags 500ml</t>
  </si>
  <si>
    <t>CryoStore Freezing Bags</t>
  </si>
  <si>
    <t>DMSO Resistant Spike</t>
  </si>
  <si>
    <t>DMSO Vial Spike</t>
  </si>
  <si>
    <t>Freezing Bags 50ml</t>
  </si>
  <si>
    <t>Freezing Bags 250ml</t>
  </si>
  <si>
    <t>Freezing Bags 500ml</t>
  </si>
  <si>
    <t>Plasma Extractor</t>
  </si>
  <si>
    <t>Plasma Extractor Glass Replacement</t>
  </si>
  <si>
    <t>Plasma and Fluid Transfer Set</t>
  </si>
  <si>
    <t>Plasma Transfer Set</t>
  </si>
  <si>
    <t>Smart Site Bag Access Device (Luer-lock)</t>
  </si>
  <si>
    <t>Sterile Bags Large</t>
  </si>
  <si>
    <t>Sterile Bags Small</t>
  </si>
  <si>
    <t>SteriZipn Overpouch Bags Large(TRANSPORT)</t>
  </si>
  <si>
    <t>SteriZipn Overpouch Bags Small</t>
  </si>
  <si>
    <t>Transfer Pack 150ml</t>
  </si>
  <si>
    <t>Transfer Pack 300ml</t>
  </si>
  <si>
    <t>Transfer Pack 400ml</t>
  </si>
  <si>
    <t>Transfer Pack 600ml</t>
  </si>
  <si>
    <t>Transfer Pack 1000ml</t>
  </si>
  <si>
    <t>Transfer Pack 2000ml</t>
  </si>
  <si>
    <t>Y Spike Set with Luer-Lock</t>
  </si>
  <si>
    <t>---Sample Collection &amp; Storage---</t>
  </si>
  <si>
    <t>Alcohol Prep Pad</t>
  </si>
  <si>
    <t>Cryovials 1.8ml</t>
  </si>
  <si>
    <t>Iodine Prep Pad</t>
  </si>
  <si>
    <t>Iodine Swabs</t>
  </si>
  <si>
    <t>Tubes 12 x 75 No cap</t>
  </si>
  <si>
    <t>Tubes 12x75 w/ Cap</t>
  </si>
  <si>
    <t>Tubes Conical 15ml</t>
  </si>
  <si>
    <t>Tubes Conical 50ml</t>
  </si>
  <si>
    <t>Tubes EDTA Vacutainer</t>
  </si>
  <si>
    <t>Tubes Na Heparin</t>
  </si>
  <si>
    <t>---Accessories &amp; Consumables---</t>
  </si>
  <si>
    <t>Air Filter Fluidic Door</t>
  </si>
  <si>
    <t>Apheresis shipping kit</t>
  </si>
  <si>
    <t>Auxiliary LVL Sensor 7.5in Stem</t>
  </si>
  <si>
    <t>Bal-Seal Sip</t>
  </si>
  <si>
    <t>Biohazard Specimen Bag</t>
  </si>
  <si>
    <t>Bungee Cords</t>
  </si>
  <si>
    <t>CliniMACS Transfusion Filter 40 UM</t>
  </si>
  <si>
    <t>Cordset Pwr 15A 6ft</t>
  </si>
  <si>
    <t>CPLG Body Pnl MT 1/4in Nom Flow</t>
  </si>
  <si>
    <t>CPLG Body Pnl MT 1/8in Nom Flow</t>
  </si>
  <si>
    <t>Disposable Hemacytometer</t>
  </si>
  <si>
    <t>Double Female Luer Lock</t>
  </si>
  <si>
    <t>Filter 0.45UM 50mm D3/16 Barbs PPL</t>
  </si>
  <si>
    <t>Filter Bypass Assy</t>
  </si>
  <si>
    <t>Fuse 2.5A</t>
  </si>
  <si>
    <t>Hemacytometer Cover Glass</t>
  </si>
  <si>
    <t xml:space="preserve">Hemocytomer C-Chip </t>
  </si>
  <si>
    <t>Hemotap Valve</t>
  </si>
  <si>
    <t>Heterotropic Plate (Water Culture)</t>
  </si>
  <si>
    <t>Non-Vented Dispensing Pin (Luer-lock)</t>
  </si>
  <si>
    <t>Parafilm M</t>
  </si>
  <si>
    <t>Pipet 2uL</t>
  </si>
  <si>
    <t>Pipet 2uL tips</t>
  </si>
  <si>
    <t>Pipet Tips 1-200µl Rack</t>
  </si>
  <si>
    <t>Pipet Tips 200-1000µl Rack</t>
  </si>
  <si>
    <t>Pipet Tips Blue 100-1000µl</t>
  </si>
  <si>
    <t>Pipet Tips Yellow 1-200µl</t>
  </si>
  <si>
    <t>Plastic O-Ring Pick Tool</t>
  </si>
  <si>
    <t>Repeater Pipet Combitips 10ml</t>
  </si>
  <si>
    <t>Retainer Ball Seal</t>
  </si>
  <si>
    <t>Sampling Typesafe (for Segments)</t>
  </si>
  <si>
    <t>Scissors Blunt Tip</t>
  </si>
  <si>
    <t>Sprayer Trigger</t>
  </si>
  <si>
    <t>Threaded Lock Cannula</t>
  </si>
  <si>
    <t>Transfer Pipet</t>
  </si>
  <si>
    <t>Welding Wafers SCD#1</t>
  </si>
  <si>
    <t>Welding Wafers SCD#2</t>
  </si>
  <si>
    <t>Wet Cart Liquid Filter Assy Service</t>
  </si>
  <si>
    <t>Wire .005 316lvm-ss</t>
  </si>
  <si>
    <t>---Gloves &amp; Personal Protection---</t>
  </si>
  <si>
    <t>Gloves aloe</t>
  </si>
  <si>
    <t>CryoGloves Large</t>
  </si>
  <si>
    <t>CryoGloves Medium</t>
  </si>
  <si>
    <t>CryoGloves Small</t>
  </si>
  <si>
    <t>Gloves Large</t>
  </si>
  <si>
    <t>Gloves Medium</t>
  </si>
  <si>
    <t>Gloves Small</t>
  </si>
  <si>
    <t>Gloves X-Large</t>
  </si>
  <si>
    <t>Gloves X-Small</t>
  </si>
  <si>
    <t>Wells lamont Gloves</t>
  </si>
  <si>
    <t>Gloves  Stretching Vinyl Small</t>
  </si>
  <si>
    <t>---Containers &amp; Waste Disposal---</t>
  </si>
  <si>
    <t>Disposal Container</t>
  </si>
  <si>
    <t>Disposal Container Holder</t>
  </si>
  <si>
    <t>Red Step-on Container 8gl</t>
  </si>
  <si>
    <t>Sharps Containers 1QT</t>
  </si>
  <si>
    <t>Waste Tank 10 Liter</t>
  </si>
  <si>
    <t>Waste Tank 5 Liter</t>
  </si>
  <si>
    <t>Waste Tank Caps (Pack of 12)</t>
  </si>
  <si>
    <t>---Thermometers &amp; Monitoring---</t>
  </si>
  <si>
    <t>3 Channel Timer</t>
  </si>
  <si>
    <t>Libero Datalogger</t>
  </si>
  <si>
    <t>Refrigerator Thermometer</t>
  </si>
  <si>
    <t xml:space="preserve">Senitech Temptale Ultra </t>
  </si>
  <si>
    <t>Shipper/WaterBath Thermometer</t>
  </si>
  <si>
    <t>Temp/Humidity Meter</t>
  </si>
  <si>
    <t>---Labels &amp; Forms---</t>
  </si>
  <si>
    <t>Avery 2x4</t>
  </si>
  <si>
    <t>Epic Labels</t>
  </si>
  <si>
    <t>Digi-Trax 1.5 x 0.75</t>
  </si>
  <si>
    <t>Digi-Trax 3 X 2</t>
  </si>
  <si>
    <t>Digi-Trax 4 x 4</t>
  </si>
  <si>
    <t>Do Not Use This Lot #</t>
  </si>
  <si>
    <t>HMIS Chemical Hazard Label</t>
  </si>
  <si>
    <t>ISBT 128 DIN</t>
  </si>
  <si>
    <t>Ties</t>
  </si>
  <si>
    <t>Tags Dark Green Large</t>
  </si>
  <si>
    <t>Tags Green Small</t>
  </si>
  <si>
    <t>Tags Manila</t>
  </si>
  <si>
    <t>Tags Red</t>
  </si>
  <si>
    <t>This Lot is Ready for Use</t>
  </si>
  <si>
    <t>Uline Laser Label 1 3/4x1/2 Red</t>
  </si>
  <si>
    <t>Uline Laser Label 2 5/8x1 Blue</t>
  </si>
  <si>
    <t>Uline Laser Label 2 5/8x1 Orange</t>
  </si>
  <si>
    <t>Uline Laser Label 2 5/8x1 Yellow</t>
  </si>
  <si>
    <t>Uline Manila Tags 4 3/4x2 3/8 13</t>
  </si>
  <si>
    <t>Uline White Laser Label 4x2</t>
  </si>
  <si>
    <t>---Paper &amp; Folders---</t>
  </si>
  <si>
    <t>Cryo Pen</t>
  </si>
  <si>
    <t>Copy Paper White</t>
  </si>
  <si>
    <t>Light Blue Folder, 1 Divider</t>
  </si>
  <si>
    <t>Light Blue Folder, 2 Dividers</t>
  </si>
  <si>
    <t>Light Green Folder, 2 Dividers</t>
  </si>
  <si>
    <t>Dark Blue Folder, 2 Dividers</t>
  </si>
  <si>
    <t>Red Folder, 2 Dividers</t>
  </si>
  <si>
    <t>Red Folder, 3 Dividers</t>
  </si>
  <si>
    <t>Transplant Reports</t>
  </si>
  <si>
    <t>---Toners &amp; Printing---</t>
  </si>
  <si>
    <t>Copier Toner</t>
  </si>
  <si>
    <t>MRV CRF Printer Rolls</t>
  </si>
  <si>
    <t>NW2Q Printer Toner Black HP</t>
  </si>
  <si>
    <t>NW2Q Printer Toner Cyan HP</t>
  </si>
  <si>
    <t>NW2Q Printer Toner Magenta HP</t>
  </si>
  <si>
    <t>NW2Q Printer Toner Yellow HP</t>
  </si>
  <si>
    <t>Printer Toner HP 35A for KR</t>
  </si>
  <si>
    <t>Ricoh Printer Toner Black</t>
  </si>
  <si>
    <t>Ricoh Printer Toner Cyan</t>
  </si>
  <si>
    <t>Ricoh Printer Toner Magenta</t>
  </si>
  <si>
    <t>Ricoh Printer Toner Yellow</t>
  </si>
  <si>
    <t>Sunquest Printer Refill</t>
  </si>
  <si>
    <t>Sysmex Printer Toner</t>
  </si>
  <si>
    <t>Manufacturer:</t>
  </si>
  <si>
    <t>Associated bags</t>
  </si>
  <si>
    <t>AH Pharmacy</t>
  </si>
  <si>
    <t>Bactec</t>
  </si>
  <si>
    <t>Baxter</t>
  </si>
  <si>
    <t>BD</t>
  </si>
  <si>
    <t>BBraun</t>
  </si>
  <si>
    <t>Beckman</t>
  </si>
  <si>
    <t>Biomerieux</t>
  </si>
  <si>
    <t>BMS</t>
  </si>
  <si>
    <t>Charter</t>
  </si>
  <si>
    <t>Contec</t>
  </si>
  <si>
    <t>Covidien</t>
  </si>
  <si>
    <t>CSL Behring</t>
  </si>
  <si>
    <t>Clorox</t>
  </si>
  <si>
    <t>Decon Lab</t>
  </si>
  <si>
    <t>Diversey</t>
  </si>
  <si>
    <t>Eppendorf</t>
  </si>
  <si>
    <t>Falcon</t>
  </si>
  <si>
    <t>Fenwall</t>
  </si>
  <si>
    <t>Fisher Scientific</t>
  </si>
  <si>
    <t>Gibco</t>
  </si>
  <si>
    <t>Global Science</t>
  </si>
  <si>
    <t>Griffols</t>
  </si>
  <si>
    <t>Hospira</t>
  </si>
  <si>
    <t>incyto</t>
  </si>
  <si>
    <t>Kimberly Clark</t>
  </si>
  <si>
    <t>Labplas</t>
  </si>
  <si>
    <t>Liner</t>
  </si>
  <si>
    <t>Medline</t>
  </si>
  <si>
    <t>Metrex</t>
  </si>
  <si>
    <t>Miwwi Pore</t>
  </si>
  <si>
    <t>MVE</t>
  </si>
  <si>
    <t>Octapharma</t>
  </si>
  <si>
    <t>Origen</t>
  </si>
  <si>
    <t>Pall</t>
  </si>
  <si>
    <t>PDI</t>
  </si>
  <si>
    <t>Pfizer</t>
  </si>
  <si>
    <t>Premierpro Plus</t>
  </si>
  <si>
    <t>QI Medical</t>
  </si>
  <si>
    <t>Seagent Pharmaceuticals</t>
  </si>
  <si>
    <t>Sensitech</t>
  </si>
  <si>
    <t>Smartsite</t>
  </si>
  <si>
    <t>Shamrock</t>
  </si>
  <si>
    <t>Smiths Medical</t>
  </si>
  <si>
    <t>Sysmex</t>
  </si>
  <si>
    <t>Streck</t>
  </si>
  <si>
    <t>Tacy Medical</t>
  </si>
  <si>
    <t>Terumo</t>
  </si>
  <si>
    <t>Thermo Fisher</t>
  </si>
  <si>
    <t>Thermo Scientific</t>
  </si>
  <si>
    <t>Tracy Medical</t>
  </si>
  <si>
    <t>Uline</t>
  </si>
  <si>
    <t>VWR</t>
  </si>
  <si>
    <t>Wells lamont</t>
  </si>
  <si>
    <t>comment:</t>
  </si>
  <si>
    <t>Aloe vera</t>
  </si>
  <si>
    <t>Backorder</t>
  </si>
  <si>
    <t>Defective</t>
  </si>
  <si>
    <t>Duplicate</t>
  </si>
  <si>
    <t>Exp. Item</t>
  </si>
  <si>
    <t>Pharmacy</t>
  </si>
  <si>
    <t>Received Only</t>
  </si>
  <si>
    <t>Split shipment</t>
  </si>
  <si>
    <t>Shipping Delay</t>
  </si>
  <si>
    <t>Shortage</t>
  </si>
  <si>
    <t>Nitriles</t>
  </si>
  <si>
    <t>Vynil</t>
  </si>
  <si>
    <t>Research</t>
  </si>
  <si>
    <t>Missing Order</t>
  </si>
  <si>
    <t>1 pk</t>
  </si>
  <si>
    <t>1 PK</t>
  </si>
  <si>
    <t>1 CT</t>
  </si>
  <si>
    <t>N/A</t>
  </si>
  <si>
    <t>Discard</t>
  </si>
  <si>
    <t>1 CA</t>
  </si>
  <si>
    <t>Non-Critical</t>
  </si>
  <si>
    <t>01/15//2025</t>
  </si>
  <si>
    <t>3RW</t>
  </si>
  <si>
    <t>2RW</t>
  </si>
  <si>
    <t>2 RW</t>
  </si>
  <si>
    <t>2  CA</t>
  </si>
  <si>
    <t>2 CA</t>
  </si>
  <si>
    <t>Nitrile</t>
  </si>
  <si>
    <t>A1</t>
  </si>
  <si>
    <t>A2</t>
  </si>
  <si>
    <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</si>
</sst>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sz val="11"/>
      <color theme="0"/>
      <name val="Aptos Narrow"/>
      <family val="2"/>
      <scheme val="minor"/>
    </font>
    <font>
      <sz val="12"/>
      <color theme="1"/>
      <name val="Aptos"/>
      <family val="2"/>
    </font>
    <font>
      <sz val="11"/>
      <color rgb="FF000000"/>
      <name val="Aptos Narrow"/>
      <family val="2"/>
    </font>
    <font>
      <sz val="12"/>
      <color rgb="FF000000"/>
      <name val="Aptos"/>
      <family val="2"/>
    </font>
    <font>
      <sz val="11"/>
      <color rgb="FF000000"/>
      <name val="Aptos Narrow"/>
    </font>
  </fonts>
  <fills count="5">
    <fill>
      <patternFill patternType="none"/>
    </fill>
    <fill>
      <patternFill patternType="gray125"/>
    </fill>
    <fill>
      <patternFill patternType="solid">
        <fgColor theme="0"/>
        <bgColor indexed="64"/>
      </patternFill>
    </fill>
    <fill>
      <patternFill patternType="solid">
        <fgColor rgb="FF41637F"/>
        <bgColor indexed="64"/>
      </patternFill>
    </fill>
    <fill>
      <patternFill patternType="solid">
        <fgColor rgb="FFFFFFFF"/>
        <bgColor indexed="64"/>
      </patternFill>
    </fill>
  </fills>
  <borders count="1">
    <border>
      <left/>
      <right/>
      <top/>
      <bottom/>
      <diagonal/>
    </border>
  </borders>
  <cellStyleXfs count="1">
    <xf numFmtId="0" fontId="0" fillId="0" borderId="0"/>
  </cellStyleXfs>
  <cellXfs count="16">
    <xf numFmtId="0" fontId="0" fillId="0" borderId="0" xfId="0"/>
    <xf numFmtId="0" fontId="0" fillId="2" borderId="0" xfId="0" applyFill="1"/>
    <xf numFmtId="0" fontId="0" fillId="3" borderId="0" xfId="0" applyFill="1"/>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3" borderId="0" xfId="0" applyFill="1" applyAlignment="1">
      <alignment horizontal="center" vertical="center"/>
    </xf>
    <xf numFmtId="0" fontId="0" fillId="2" borderId="0" xfId="0" applyFill="1" applyAlignment="1">
      <alignment horizontal="center" vertical="center"/>
    </xf>
    <xf numFmtId="0" fontId="1" fillId="3" borderId="0" xfId="0" applyFont="1" applyFill="1" applyAlignment="1">
      <alignment horizontal="center" vertical="center"/>
    </xf>
    <xf numFmtId="0" fontId="0" fillId="4" borderId="0" xfId="0" applyFill="1"/>
    <xf numFmtId="0" fontId="2" fillId="0" borderId="0" xfId="0" applyFont="1" applyAlignment="1">
      <alignment vertical="center"/>
    </xf>
    <xf numFmtId="0" fontId="3" fillId="4" borderId="0" xfId="0" applyFont="1" applyFill="1" applyAlignment="1">
      <alignment vertical="center"/>
    </xf>
    <xf numFmtId="0" fontId="4" fillId="0" borderId="0" xfId="0" applyFont="1" applyAlignment="1">
      <alignment vertical="center"/>
    </xf>
    <xf numFmtId="0" fontId="0" fillId="0" borderId="0" xfId="0" applyAlignment="1" applyProtection="1">
      <alignment horizontal="center" vertical="center"/>
      <protection locked="0"/>
    </xf>
    <xf numFmtId="14" fontId="0" fillId="0" borderId="0" xfId="0" applyNumberFormat="1" applyAlignment="1" applyProtection="1">
      <alignment horizontal="center" vertical="center"/>
      <protection locked="0"/>
    </xf>
    <xf numFmtId="17" fontId="0" fillId="0" borderId="0" xfId="0" applyNumberFormat="1" applyAlignment="1" applyProtection="1">
      <alignment horizontal="center" vertical="center"/>
      <protection locked="0"/>
    </xf>
  </cellXfs>
  <cellStyles count="1">
    <cellStyle name="Normal" xfId="0" builtinId="0"/>
  </cellStyles>
  <dxfs count="61">
    <dxf>
      <font>
        <color rgb="FFF8F8F8"/>
      </font>
      <fill>
        <patternFill>
          <bgColor rgb="FFFF0000"/>
        </patternFill>
      </fill>
    </dxf>
    <dxf>
      <font>
        <color theme="9" tint="-0.499984740745262"/>
      </font>
      <fill>
        <patternFill>
          <bgColor theme="9" tint="0.79998168889431442"/>
        </patternFill>
      </fill>
    </dxf>
    <dxf>
      <font>
        <color rgb="FFAB7A01"/>
      </font>
      <fill>
        <patternFill>
          <bgColor rgb="FFFFFFCC"/>
        </patternFill>
      </fill>
    </dxf>
    <dxf>
      <font>
        <color rgb="FFC00000"/>
      </font>
      <fill>
        <patternFill>
          <bgColor rgb="FFFF9B9B"/>
        </patternFill>
      </fill>
    </dxf>
    <dxf>
      <font>
        <color rgb="FF002060"/>
      </font>
      <fill>
        <patternFill>
          <bgColor theme="7" tint="0.79998168889431442"/>
        </patternFill>
      </fill>
    </dxf>
    <dxf>
      <font>
        <color theme="9" tint="0.79998168889431442"/>
      </font>
      <fill>
        <patternFill>
          <bgColor theme="9" tint="-0.24994659260841701"/>
        </patternFill>
      </fill>
    </dxf>
    <dxf>
      <font>
        <color theme="0"/>
      </font>
      <fill>
        <patternFill>
          <bgColor theme="0" tint="-0.499984740745262"/>
        </patternFill>
      </fill>
    </dxf>
    <dxf>
      <font>
        <color theme="0"/>
      </font>
      <fill>
        <patternFill>
          <bgColor rgb="FFFFC000"/>
        </patternFill>
      </fill>
    </dxf>
    <dxf>
      <font>
        <color rgb="FFF8F8F8"/>
      </font>
      <fill>
        <patternFill>
          <bgColor rgb="FFFF0000"/>
        </patternFill>
      </fill>
    </dxf>
    <dxf>
      <font>
        <color theme="9" tint="-0.499984740745262"/>
      </font>
      <fill>
        <patternFill>
          <bgColor theme="9" tint="0.79998168889431442"/>
        </patternFill>
      </fill>
    </dxf>
    <dxf>
      <font>
        <color rgb="FFAB7A01"/>
      </font>
      <fill>
        <patternFill>
          <bgColor rgb="FFFFFFCC"/>
        </patternFill>
      </fill>
    </dxf>
    <dxf>
      <font>
        <color rgb="FFC00000"/>
      </font>
      <fill>
        <patternFill>
          <bgColor rgb="FFFF9B9B"/>
        </patternFill>
      </fill>
    </dxf>
    <dxf>
      <font>
        <color rgb="FF002060"/>
      </font>
      <fill>
        <patternFill>
          <bgColor theme="7" tint="0.79998168889431442"/>
        </patternFill>
      </fill>
    </dxf>
    <dxf>
      <font>
        <color theme="9" tint="0.79998168889431442"/>
      </font>
      <fill>
        <patternFill>
          <bgColor theme="9" tint="-0.24994659260841701"/>
        </patternFill>
      </fill>
    </dxf>
    <dxf>
      <font>
        <color theme="0"/>
      </font>
      <fill>
        <patternFill>
          <bgColor theme="0" tint="-0.499984740745262"/>
        </patternFill>
      </fill>
    </dxf>
    <dxf>
      <font>
        <color theme="0"/>
      </font>
      <fill>
        <patternFill>
          <bgColor rgb="FFFFC000"/>
        </patternFill>
      </fill>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0" hidden="0"/>
    </dxf>
    <dxf>
      <numFmt numFmtId="19" formatCode="m/d/yy"/>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19" formatCode="m/d/yy"/>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164" formatCode="m/d/yyyy"/>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solid">
          <fgColor indexed="64"/>
          <bgColor theme="0"/>
        </patternFill>
      </fil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0"/>
        </patternFill>
      </fill>
    </dxf>
  </dxfs>
  <tableStyles count="0" defaultTableStyle="TableStyleMedium2" defaultPivotStyle="PivotStyleMedium9"/>
  <colors>
    <mruColors>
      <color rgb="FFFE7676"/>
      <color rgb="FFFF9999"/>
      <color rgb="FFAB7A01"/>
      <color rgb="FFF8B202"/>
      <color rgb="FFFFFFCC"/>
      <color rgb="FFFF9B9B"/>
      <color rgb="FFFFC1C1"/>
      <color rgb="FFFF2525"/>
      <color rgb="FF41637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ustomXml" Target="../customXml/item1.xml"/><Relationship Id="rId10" Type="http://schemas.microsoft.com/office/2007/relationships/slicerCache" Target="slicerCaches/slicerCache6.xml"/><Relationship Id="rId4" Type="http://schemas.openxmlformats.org/officeDocument/2006/relationships/worksheet" Target="worksheets/sheet4.xml"/><Relationship Id="rId9" Type="http://schemas.microsoft.com/office/2007/relationships/slicerCache" Target="slicerCaches/slicerCache5.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8</xdr:col>
      <xdr:colOff>268623</xdr:colOff>
      <xdr:row>2</xdr:row>
      <xdr:rowOff>656896</xdr:rowOff>
    </xdr:from>
    <xdr:to>
      <xdr:col>13</xdr:col>
      <xdr:colOff>241121</xdr:colOff>
      <xdr:row>3</xdr:row>
      <xdr:rowOff>120430</xdr:rowOff>
    </xdr:to>
    <mc:AlternateContent xmlns:mc="http://schemas.openxmlformats.org/markup-compatibility/2006" xmlns:sle15="http://schemas.microsoft.com/office/drawing/2012/slicer">
      <mc:Choice Requires="sle15">
        <xdr:graphicFrame macro="">
          <xdr:nvGraphicFramePr>
            <xdr:cNvPr id="2" name="Status 8">
              <a:extLst>
                <a:ext uri="{FF2B5EF4-FFF2-40B4-BE49-F238E27FC236}">
                  <a16:creationId xmlns:a16="http://schemas.microsoft.com/office/drawing/2014/main" id="{0E7F5B42-02ED-4815-90EB-FC4E567430E4}"/>
                </a:ext>
              </a:extLst>
            </xdr:cNvPr>
            <xdr:cNvGraphicFramePr/>
          </xdr:nvGraphicFramePr>
          <xdr:xfrm>
            <a:off x="0" y="0"/>
            <a:ext cx="0" cy="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7209967" y="2002302"/>
              <a:ext cx="5651779" cy="6303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133110</xdr:colOff>
      <xdr:row>2</xdr:row>
      <xdr:rowOff>206395</xdr:rowOff>
    </xdr:from>
    <xdr:to>
      <xdr:col>5</xdr:col>
      <xdr:colOff>356566</xdr:colOff>
      <xdr:row>3</xdr:row>
      <xdr:rowOff>97911</xdr:rowOff>
    </xdr:to>
    <mc:AlternateContent xmlns:mc="http://schemas.openxmlformats.org/markup-compatibility/2006" xmlns:sle15="http://schemas.microsoft.com/office/drawing/2012/slicer">
      <mc:Choice Requires="sle15">
        <xdr:graphicFrame macro="">
          <xdr:nvGraphicFramePr>
            <xdr:cNvPr id="3" name="Month 8">
              <a:extLst>
                <a:ext uri="{FF2B5EF4-FFF2-40B4-BE49-F238E27FC236}">
                  <a16:creationId xmlns:a16="http://schemas.microsoft.com/office/drawing/2014/main" id="{567CC93F-67D6-4B03-8A60-29FF38A891D6}"/>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33110" y="1551801"/>
              <a:ext cx="4521612" cy="10583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350603</xdr:colOff>
      <xdr:row>2</xdr:row>
      <xdr:rowOff>678793</xdr:rowOff>
    </xdr:from>
    <xdr:to>
      <xdr:col>20</xdr:col>
      <xdr:colOff>460087</xdr:colOff>
      <xdr:row>3</xdr:row>
      <xdr:rowOff>153277</xdr:rowOff>
    </xdr:to>
    <mc:AlternateContent xmlns:mc="http://schemas.openxmlformats.org/markup-compatibility/2006" xmlns:sle15="http://schemas.microsoft.com/office/drawing/2012/slicer">
      <mc:Choice Requires="sle15">
        <xdr:graphicFrame macro="">
          <xdr:nvGraphicFramePr>
            <xdr:cNvPr id="4" name="Comment 5">
              <a:extLst>
                <a:ext uri="{FF2B5EF4-FFF2-40B4-BE49-F238E27FC236}">
                  <a16:creationId xmlns:a16="http://schemas.microsoft.com/office/drawing/2014/main" id="{BEF96694-A045-40A8-840D-899EA66371E6}"/>
                </a:ext>
              </a:extLst>
            </xdr:cNvPr>
            <xdr:cNvGraphicFramePr/>
          </xdr:nvGraphicFramePr>
          <xdr:xfrm>
            <a:off x="0" y="0"/>
            <a:ext cx="0" cy="0"/>
          </xdr:xfrm>
          <a:graphic>
            <a:graphicData uri="http://schemas.microsoft.com/office/drawing/2010/slicer">
              <sle:slicer xmlns:sle="http://schemas.microsoft.com/office/drawing/2010/slicer" name="Comment 5"/>
            </a:graphicData>
          </a:graphic>
        </xdr:graphicFrame>
      </mc:Choice>
      <mc:Fallback xmlns="">
        <xdr:sp macro="" textlink="">
          <xdr:nvSpPr>
            <xdr:cNvPr id="0" name=""/>
            <xdr:cNvSpPr>
              <a:spLocks noTextEdit="1"/>
            </xdr:cNvSpPr>
          </xdr:nvSpPr>
          <xdr:spPr>
            <a:xfrm>
              <a:off x="16590728" y="2024199"/>
              <a:ext cx="3669453" cy="6412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19</xdr:col>
          <xdr:colOff>304800</xdr:colOff>
          <xdr:row>2</xdr:row>
          <xdr:rowOff>127000</xdr:rowOff>
        </xdr:from>
        <xdr:to>
          <xdr:col>20</xdr:col>
          <xdr:colOff>635000</xdr:colOff>
          <xdr:row>2</xdr:row>
          <xdr:rowOff>457200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Clear All Filters</a:t>
              </a:r>
            </a:p>
          </xdr:txBody>
        </xdr:sp>
        <xdr:clientData fPrintsWithSheet="0"/>
      </xdr:twoCellAnchor>
    </mc:Choice>
    <mc:Fallback/>
  </mc:AlternateContent>
  <xdr:twoCellAnchor>
    <xdr:from>
      <xdr:col>6</xdr:col>
      <xdr:colOff>508958</xdr:colOff>
      <xdr:row>0</xdr:row>
      <xdr:rowOff>273706</xdr:rowOff>
    </xdr:from>
    <xdr:to>
      <xdr:col>16</xdr:col>
      <xdr:colOff>399475</xdr:colOff>
      <xdr:row>1</xdr:row>
      <xdr:rowOff>372241</xdr:rowOff>
    </xdr:to>
    <xdr:sp macro="" textlink="">
      <xdr:nvSpPr>
        <xdr:cNvPr id="5" name="TextBox 4">
          <a:extLst>
            <a:ext uri="{FF2B5EF4-FFF2-40B4-BE49-F238E27FC236}">
              <a16:creationId xmlns:a16="http://schemas.microsoft.com/office/drawing/2014/main" id="{C393C9FC-875D-4682-B69B-F79A26D9D744}"/>
            </a:ext>
          </a:extLst>
        </xdr:cNvPr>
        <xdr:cNvSpPr txBox="1"/>
      </xdr:nvSpPr>
      <xdr:spPr>
        <a:xfrm>
          <a:off x="5785808" y="273706"/>
          <a:ext cx="10863317" cy="784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solidFill>
            </a:rPr>
            <a:t>SUPPLIES</a:t>
          </a:r>
          <a:r>
            <a:rPr lang="en-US" sz="4800" baseline="0">
              <a:solidFill>
                <a:schemeClr val="bg1"/>
              </a:solidFill>
            </a:rPr>
            <a:t> AND REAGENTS ORDERS 2025</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185279</xdr:colOff>
      <xdr:row>2</xdr:row>
      <xdr:rowOff>656896</xdr:rowOff>
    </xdr:from>
    <xdr:to>
      <xdr:col>13</xdr:col>
      <xdr:colOff>157777</xdr:colOff>
      <xdr:row>3</xdr:row>
      <xdr:rowOff>120430</xdr:rowOff>
    </xdr:to>
    <mc:AlternateContent xmlns:mc="http://schemas.openxmlformats.org/markup-compatibility/2006" xmlns:sle15="http://schemas.microsoft.com/office/drawing/2012/slicer">
      <mc:Choice Requires="sle15">
        <xdr:graphicFrame macro="">
          <xdr:nvGraphicFramePr>
            <xdr:cNvPr id="2" name="Status 7">
              <a:extLst>
                <a:ext uri="{FF2B5EF4-FFF2-40B4-BE49-F238E27FC236}">
                  <a16:creationId xmlns:a16="http://schemas.microsoft.com/office/drawing/2014/main" id="{9CCB6103-0A09-4307-A758-3EEC382DF393}"/>
                </a:ext>
              </a:extLst>
            </xdr:cNvPr>
            <xdr:cNvGraphicFramePr/>
          </xdr:nvGraphicFramePr>
          <xdr:xfrm>
            <a:off x="0" y="0"/>
            <a:ext cx="0" cy="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7209967" y="2002302"/>
              <a:ext cx="5651779" cy="6303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133110</xdr:colOff>
      <xdr:row>2</xdr:row>
      <xdr:rowOff>206395</xdr:rowOff>
    </xdr:from>
    <xdr:to>
      <xdr:col>5</xdr:col>
      <xdr:colOff>273222</xdr:colOff>
      <xdr:row>3</xdr:row>
      <xdr:rowOff>97911</xdr:rowOff>
    </xdr:to>
    <mc:AlternateContent xmlns:mc="http://schemas.openxmlformats.org/markup-compatibility/2006" xmlns:sle15="http://schemas.microsoft.com/office/drawing/2012/slicer">
      <mc:Choice Requires="sle15">
        <xdr:graphicFrame macro="">
          <xdr:nvGraphicFramePr>
            <xdr:cNvPr id="3" name="Month 7">
              <a:extLst>
                <a:ext uri="{FF2B5EF4-FFF2-40B4-BE49-F238E27FC236}">
                  <a16:creationId xmlns:a16="http://schemas.microsoft.com/office/drawing/2014/main" id="{95510893-E648-47BD-B5B6-0660B7E8F393}"/>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133110" y="1551801"/>
              <a:ext cx="4521612" cy="10583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267259</xdr:colOff>
      <xdr:row>2</xdr:row>
      <xdr:rowOff>678793</xdr:rowOff>
    </xdr:from>
    <xdr:to>
      <xdr:col>20</xdr:col>
      <xdr:colOff>376743</xdr:colOff>
      <xdr:row>3</xdr:row>
      <xdr:rowOff>153277</xdr:rowOff>
    </xdr:to>
    <mc:AlternateContent xmlns:mc="http://schemas.openxmlformats.org/markup-compatibility/2006" xmlns:sle15="http://schemas.microsoft.com/office/drawing/2012/slicer">
      <mc:Choice Requires="sle15">
        <xdr:graphicFrame macro="">
          <xdr:nvGraphicFramePr>
            <xdr:cNvPr id="4" name="Comment 4">
              <a:extLst>
                <a:ext uri="{FF2B5EF4-FFF2-40B4-BE49-F238E27FC236}">
                  <a16:creationId xmlns:a16="http://schemas.microsoft.com/office/drawing/2014/main" id="{1B73986B-9240-41F6-A868-CBDAEFAEDCA4}"/>
                </a:ext>
              </a:extLst>
            </xdr:cNvPr>
            <xdr:cNvGraphicFramePr/>
          </xdr:nvGraphicFramePr>
          <xdr:xfrm>
            <a:off x="0" y="0"/>
            <a:ext cx="0" cy="0"/>
          </xdr:xfrm>
          <a:graphic>
            <a:graphicData uri="http://schemas.microsoft.com/office/drawing/2010/slicer">
              <sle:slicer xmlns:sle="http://schemas.microsoft.com/office/drawing/2010/slicer" name="Comment 4"/>
            </a:graphicData>
          </a:graphic>
        </xdr:graphicFrame>
      </mc:Choice>
      <mc:Fallback xmlns="">
        <xdr:sp macro="" textlink="">
          <xdr:nvSpPr>
            <xdr:cNvPr id="0" name=""/>
            <xdr:cNvSpPr>
              <a:spLocks noTextEdit="1"/>
            </xdr:cNvSpPr>
          </xdr:nvSpPr>
          <xdr:spPr>
            <a:xfrm>
              <a:off x="16590728" y="2024199"/>
              <a:ext cx="3669453" cy="6412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19</xdr:col>
          <xdr:colOff>304800</xdr:colOff>
          <xdr:row>2</xdr:row>
          <xdr:rowOff>127000</xdr:rowOff>
        </xdr:from>
        <xdr:to>
          <xdr:col>20</xdr:col>
          <xdr:colOff>635000</xdr:colOff>
          <xdr:row>2</xdr:row>
          <xdr:rowOff>457200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Clear All Filters</a:t>
              </a:r>
            </a:p>
          </xdr:txBody>
        </xdr:sp>
        <xdr:clientData fPrintsWithSheet="0"/>
      </xdr:twoCellAnchor>
    </mc:Choice>
    <mc:Fallback/>
  </mc:AlternateContent>
  <xdr:twoCellAnchor>
    <xdr:from>
      <xdr:col>6</xdr:col>
      <xdr:colOff>508958</xdr:colOff>
      <xdr:row>0</xdr:row>
      <xdr:rowOff>273706</xdr:rowOff>
    </xdr:from>
    <xdr:to>
      <xdr:col>16</xdr:col>
      <xdr:colOff>399475</xdr:colOff>
      <xdr:row>1</xdr:row>
      <xdr:rowOff>372241</xdr:rowOff>
    </xdr:to>
    <xdr:sp macro="" textlink="">
      <xdr:nvSpPr>
        <xdr:cNvPr id="5" name="TextBox 4">
          <a:extLst>
            <a:ext uri="{FF2B5EF4-FFF2-40B4-BE49-F238E27FC236}">
              <a16:creationId xmlns:a16="http://schemas.microsoft.com/office/drawing/2014/main" id="{4B37AE3D-534F-4839-928F-4E80C6A61637}"/>
            </a:ext>
          </a:extLst>
        </xdr:cNvPr>
        <xdr:cNvSpPr txBox="1"/>
      </xdr:nvSpPr>
      <xdr:spPr>
        <a:xfrm>
          <a:off x="5783427" y="273706"/>
          <a:ext cx="10856173" cy="78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solidFill>
            </a:rPr>
            <a:t>SUPPLIES</a:t>
          </a:r>
          <a:r>
            <a:rPr lang="en-US" sz="4800" baseline="0">
              <a:solidFill>
                <a:schemeClr val="bg1"/>
              </a:solidFill>
            </a:rPr>
            <a:t> AND REAGENTS ORDERS 2025</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3111" xr10:uid="{3ABD1C38-3747-4026-B5AD-259938DD9049}" sourceName="Status">
  <extLst>
    <x:ext xmlns:x15="http://schemas.microsoft.com/office/spreadsheetml/2010/11/main" uri="{2F2917AC-EB37-4324-AD4E-5DD8C200BD13}">
      <x15:tableSlicerCache tableId="5" column="1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3111" xr10:uid="{299AD704-6F2F-45F7-A9B0-E1230CD93984}" sourceName="Month">
  <extLst>
    <x:ext xmlns:x15="http://schemas.microsoft.com/office/spreadsheetml/2010/11/main" uri="{2F2917AC-EB37-4324-AD4E-5DD8C200BD13}">
      <x15:tableSlicerCache tableId="5"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ent3111" xr10:uid="{ECA308B0-E297-4F28-B20E-859B4FA5F8BC}" sourceName="comment">
  <extLst>
    <x:ext xmlns:x15="http://schemas.microsoft.com/office/spreadsheetml/2010/11/main" uri="{2F2917AC-EB37-4324-AD4E-5DD8C200BD13}">
      <x15:tableSlicerCache tableId="5" column="1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31111" xr10:uid="{BDAC7CD9-4B16-4702-A973-6D3BD9623575}" sourceName="Status">
  <extLst>
    <x:ext xmlns:x15="http://schemas.microsoft.com/office/spreadsheetml/2010/11/main" uri="{2F2917AC-EB37-4324-AD4E-5DD8C200BD13}">
      <x15:tableSlicerCache tableId="6" column="1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31111" xr10:uid="{28CC47C6-D095-4B24-9C84-AC1CA4440932}" sourceName="Month">
  <extLst>
    <x:ext xmlns:x15="http://schemas.microsoft.com/office/spreadsheetml/2010/11/main" uri="{2F2917AC-EB37-4324-AD4E-5DD8C200BD13}">
      <x15:tableSlicerCache tableId="6" column="1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ent31111" xr10:uid="{A0E3B047-4A34-44BE-B6D4-DF93960F8633}" sourceName="comment">
  <extLst>
    <x:ext xmlns:x15="http://schemas.microsoft.com/office/spreadsheetml/2010/11/main" uri="{2F2917AC-EB37-4324-AD4E-5DD8C200BD13}">
      <x15:tableSlicerCache tableId="6" column="1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8" xr10:uid="{5A912D51-10C6-46D5-B802-33F3491C73BE}" cache="Slicer_Status131111" caption="Status" columnCount="7" style="SlicerStyleDark1" rowHeight="257175"/>
  <slicer name="Month 8" xr10:uid="{4CAB3A82-6B93-4A36-AC99-761A1A6081A7}" cache="Slicer_Month131111" caption="Month" columnCount="4" style="SlicerStyleDark1" rowHeight="182880"/>
  <slicer name="Comment 5" xr10:uid="{F2934178-3E26-4C2E-9F98-4E6F48557161}" cache="Slicer_comment31111" caption="Comment" columnCount="4" style="SlicerStyleDark1"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7" xr10:uid="{765693C9-1062-4DC3-B1AE-44C284AF36AA}" cache="Slicer_Status13111" caption="Status" columnCount="7" style="SlicerStyleDark1" rowHeight="257175"/>
  <slicer name="Month 7" xr10:uid="{0EE7ADEB-0209-4864-B6E9-1DCF86E562C4}" cache="Slicer_Month13111" caption="Month" columnCount="4" style="SlicerStyleDark1" rowHeight="182880"/>
  <slicer name="Comment 4" xr10:uid="{0DA83A9A-0081-4FB8-AEF2-24AAC57ADE22}" cache="Slicer_comment3111" caption="Comment"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B3E8911-D8CE-4514-BB15-14F774660B0C}" name="Table42379467" displayName="Table42379467" ref="B5:V61" headerRowDxfId="60" dataDxfId="59">
  <autoFilter ref="B5:V61" xr:uid="{3A3966C9-CA4C-AC4F-8BD8-59683D5D1E04}"/>
  <tableColumns count="21">
    <tableColumn id="1" xr3:uid="{D3FAF1C1-D996-49F7-9299-246AA67B5EE0}" name="Order By" totalsRowLabel="Total" dataDxfId="58"/>
    <tableColumn id="20" xr3:uid="{6A4C37B3-0E48-46E4-934B-19C4E8D4C6BA}" name="Date ordered" dataDxfId="57"/>
    <tableColumn id="16" xr3:uid="{C1474391-660A-46F3-980D-2A90B97BF738}" name="Month" dataDxfId="56">
      <calculatedColumnFormula>IF(C6="","",TEXT(C6,"MMMM"))</calculatedColumnFormula>
    </tableColumn>
    <tableColumn id="2" xr3:uid="{6E5C9E3D-AB12-4B71-AC92-E83D01CB9A67}" name="Item Description " dataDxfId="55"/>
    <tableColumn id="18" xr3:uid="{26F64265-16CA-45F8-9A1C-EBF4C260B0A1}" name="Manuf." dataDxfId="54"/>
    <tableColumn id="3" xr3:uid="{934247F6-9C4E-4DB5-9304-0EE821234E2E}" name="Qty Ordered" dataDxfId="53"/>
    <tableColumn id="19" xr3:uid="{AF7414A3-A689-4D64-A23B-3F19149D7DB2}" name="Received By" dataDxfId="52"/>
    <tableColumn id="4" xr3:uid="{BEFC8221-B2B0-44AF-87CC-C03BBCA7BA86}" name="Date Received" dataDxfId="51"/>
    <tableColumn id="5" xr3:uid="{6982081F-8457-4770-A4E5-168F2ACC867A}" name="Qty Rcvd" dataDxfId="50"/>
    <tableColumn id="6" xr3:uid="{DAC344A7-4A21-4E48-857E-2AC690A57C83}" name="Lot Number" dataDxfId="49"/>
    <tableColumn id="7" xr3:uid="{E865D0DA-D190-4796-979F-F5980B1F9517}" name="Manuf. Date" dataDxfId="48"/>
    <tableColumn id="8" xr3:uid="{0FEAE877-5F80-4A02-8380-2C0854A95659}" name="Exp. Date" dataDxfId="47"/>
    <tableColumn id="9" xr3:uid="{32B402AA-31DD-4AD0-9AD3-1AB9E35A8A58}" name="Specification as Applicable" dataDxfId="46"/>
    <tableColumn id="21" xr3:uid="{8DD4CEA4-3EFA-4ADF-BFD1-E4E1A3561977}" name="Quar. Release Date." dataDxfId="45"/>
    <tableColumn id="10" xr3:uid="{F3DF512E-5F05-4FCD-AD07-F0C8968FB9DB}" name="Release By" dataDxfId="44"/>
    <tableColumn id="22" xr3:uid="{6D990FDC-0DE1-4CEC-80ED-AB9BF1672B0F}" name="Final Disposition" dataDxfId="43"/>
    <tableColumn id="17" xr3:uid="{B684201D-B60D-4110-B7D5-D911A9C81E1B}" name="Disp. Date" dataDxfId="42"/>
    <tableColumn id="11" xr3:uid="{65B7F170-57EC-4E48-9227-9B17CDACD41B}" name="Disp. Intl" dataDxfId="41"/>
    <tableColumn id="12" xr3:uid="{036A67A8-3B22-4625-8189-3EF24204F2E5}" name="Status" dataDxfId="40">
      <calculatedColumnFormula>IF(Q6="Discard","Discard",
IF(AND(M6&lt;&gt;"",M6&lt;TODAY()),"EXPIRED!",
IF(Q6&lt;&gt;"",Q6,
IF(O6&lt;&gt;"","Ready to Use",
IF(AND(I6&lt;&gt;"",O6=""),"Quarantine",
IF(AND(C6&lt;&gt;"",TODAY()-C6&gt;7),"Delayed",
IF(C6&lt;&gt;"","Ordered","No Data")))))))</calculatedColumnFormula>
    </tableColumn>
    <tableColumn id="15" xr3:uid="{91A32A56-EA45-4EEE-B70B-E89A2B03711A}" name="comment" dataDxfId="39"/>
    <tableColumn id="14" xr3:uid="{4877B072-3D38-423A-8ABF-2DF5F9A46690}" name="mgnt Review" totalsRowFunction="count" dataDxfId="3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7C1064-832B-437A-A29F-6250477D0A9B}" name="Table4237946" displayName="Table4237946" ref="B5:U226" headerRowDxfId="37" dataDxfId="36">
  <autoFilter ref="B5:U226" xr:uid="{3A3966C9-CA4C-AC4F-8BD8-59683D5D1E04}"/>
  <tableColumns count="20">
    <tableColumn id="1" xr3:uid="{2F756176-1B6A-4085-9E47-0BDA10330A49}" name="Order By" totalsRowLabel="Total" dataDxfId="35"/>
    <tableColumn id="20" xr3:uid="{4B7D0391-2C18-4BF6-B627-59D89C0F8F6D}" name="Date ordered" dataDxfId="34"/>
    <tableColumn id="16" xr3:uid="{C5AE55F2-B4AF-45F1-86CE-BBA5E7717BF9}" name="Month" dataDxfId="33">
      <calculatedColumnFormula>IF(C6="","",TEXT(C6,"MMMM"))</calculatedColumnFormula>
    </tableColumn>
    <tableColumn id="2" xr3:uid="{E4F59DCF-A866-440D-8FD9-DD821A8B433D}" name="Item Description " dataDxfId="32"/>
    <tableColumn id="18" xr3:uid="{E178B4EE-C592-4E9F-BADF-25CF0CB6D86E}" name="Manuf." dataDxfId="31"/>
    <tableColumn id="3" xr3:uid="{9CB4ADF5-FF13-45C9-94D8-224DC5E06DEF}" name="Qty Ordered" dataDxfId="30"/>
    <tableColumn id="19" xr3:uid="{DEE2A360-85A7-4B4F-A6E9-28C35AD23462}" name="Received By" dataDxfId="29"/>
    <tableColumn id="4" xr3:uid="{B2F2FD8D-7B98-4845-AB76-26675000DFF9}" name="Date Received" dataDxfId="28"/>
    <tableColumn id="5" xr3:uid="{40EFA5D9-8690-4987-AD04-D7FC3500D8C8}" name="Qty Rcvd" dataDxfId="27"/>
    <tableColumn id="6" xr3:uid="{54D19F3F-92F5-4C9D-B34A-48C6014E4169}" name="Lot Number" dataDxfId="26"/>
    <tableColumn id="7" xr3:uid="{0029F9AC-F207-489D-A050-10FC91BF0F3D}" name="Manuf. Date" dataDxfId="25"/>
    <tableColumn id="8" xr3:uid="{72DB2DEA-98BD-4838-8A40-C883772C8FBC}" name="Exp. Date" dataDxfId="24"/>
    <tableColumn id="9" xr3:uid="{0802570F-5D0A-4AAA-A381-00F14641313B}" name="Specification as Applicable" dataDxfId="23"/>
    <tableColumn id="21" xr3:uid="{4010153F-4A59-4DCB-8DB4-62DD6112AADA}" name="Quar. Release Date." dataDxfId="22"/>
    <tableColumn id="10" xr3:uid="{4D41BA89-0F99-4ADA-BAB3-5C468263E7D9}" name="Release By" dataDxfId="21"/>
    <tableColumn id="22" xr3:uid="{04A03BA6-309E-473D-AEFF-BB6B0B1A46BC}" name="Final Disposition" dataDxfId="20"/>
    <tableColumn id="17" xr3:uid="{C0C1396D-7333-40E6-A754-883A1C558D66}" name="Disp. Date" dataDxfId="19"/>
    <tableColumn id="11" xr3:uid="{044118BD-8F0D-4DCD-934C-6FA538FC03AC}" name="Disp. Intl" dataDxfId="18"/>
    <tableColumn id="12" xr3:uid="{D1BD9BDA-7C8C-4F65-B359-CFD717294304}" name="Status" dataDxfId="17">
      <calculatedColumnFormula>IF(Q6="Discard","Discard",
IF(AND(M6&lt;&gt;"",M6&lt;TODAY()),"EXPIRED!",
IF(Q6&lt;&gt;"",Q6,
IF(O6&lt;&gt;"","Ready to Use",
IF(AND(I6&lt;&gt;"",O6=""),"Quarantine",
IF(AND(C6&lt;&gt;"",TODAY()-C6&gt;7),"Delayed",
IF(C6&lt;&gt;"","Ordered","No Data")))))))</calculatedColumnFormula>
    </tableColumn>
    <tableColumn id="15" xr3:uid="{F601410C-5A82-4E77-9E87-86F6B8B776F1}" name="comment" dataDxfId="1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microsoft.com/office/2007/relationships/slicer" Target="../slicers/slicer2.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80AF-1E39-4205-8D29-4055CF3145CB}">
  <sheetPr codeName="Sheet14"/>
  <dimension ref="A1:KG229"/>
  <sheetViews>
    <sheetView showGridLines="0" zoomScale="80" zoomScaleNormal="80" workbookViewId="0">
      <selection activeCell="J6" sqref="J6"/>
    </sheetView>
  </sheetViews>
  <sheetFormatPr baseColWidth="10" defaultColWidth="11.5" defaultRowHeight="54" customHeight="1" x14ac:dyDescent="0.2"/>
  <cols>
    <col min="1" max="1" width="2.33203125" style="1" customWidth="1"/>
    <col min="2" max="2" width="9.1640625" customWidth="1"/>
    <col min="3" max="3" width="12.5" customWidth="1"/>
    <col min="4" max="4" width="9" style="4" customWidth="1"/>
    <col min="5" max="5" width="31.5" style="4" customWidth="1"/>
    <col min="6" max="6" width="14.5" customWidth="1"/>
    <col min="7" max="7" width="11.5" customWidth="1"/>
    <col min="8" max="8" width="13.5" customWidth="1"/>
    <col min="9" max="9" width="13.33203125" customWidth="1"/>
    <col min="10" max="10" width="20.1640625" customWidth="1"/>
    <col min="11" max="11" width="15.1640625" customWidth="1"/>
    <col min="12" max="12" width="11.33203125" customWidth="1"/>
    <col min="13" max="13" width="25.5" customWidth="1"/>
    <col min="14" max="14" width="25.6640625" customWidth="1"/>
    <col min="15" max="15" width="17.6640625" customWidth="1"/>
    <col min="16" max="16" width="10.83203125" customWidth="1"/>
    <col min="17" max="17" width="15.6640625" customWidth="1"/>
    <col min="18" max="18" width="13.83203125" customWidth="1"/>
    <col min="19" max="19" width="10.33203125" customWidth="1"/>
    <col min="20" max="20" width="13.5" customWidth="1"/>
    <col min="21" max="21" width="19.83203125" customWidth="1"/>
    <col min="22" max="22" width="12.5" customWidth="1"/>
    <col min="23" max="23" width="11.5" style="9"/>
    <col min="52" max="52" width="13.6640625" bestFit="1" customWidth="1"/>
  </cols>
  <sheetData>
    <row r="1" spans="1:293" s="2" customFormat="1" ht="54" customHeight="1" x14ac:dyDescent="0.2">
      <c r="A1" s="1"/>
      <c r="D1" s="6"/>
      <c r="E1" s="6"/>
      <c r="W1" s="1"/>
      <c r="X1" s="1"/>
      <c r="Y1" s="1"/>
      <c r="Z1" s="1"/>
      <c r="AA1" s="1"/>
      <c r="AB1" s="1"/>
      <c r="AC1" s="1"/>
      <c r="AD1" s="1"/>
      <c r="AE1" s="1"/>
      <c r="AF1" s="1"/>
      <c r="AG1" s="1"/>
      <c r="AH1" s="1"/>
      <c r="AI1" s="1"/>
      <c r="AJ1" s="1"/>
      <c r="AK1" s="1"/>
      <c r="AL1" s="1"/>
      <c r="AM1" s="1"/>
      <c r="AN1" s="1"/>
      <c r="AO1" s="1"/>
      <c r="AP1" s="10"/>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row>
    <row r="2" spans="1:293" s="2" customFormat="1" ht="51.75" customHeight="1" x14ac:dyDescent="0.2">
      <c r="A2" s="1"/>
      <c r="D2" s="6"/>
      <c r="E2" s="6"/>
      <c r="W2" s="1"/>
      <c r="X2" s="1"/>
      <c r="Y2" s="1"/>
      <c r="Z2" s="1"/>
      <c r="AA2" s="1"/>
      <c r="AB2" s="1"/>
      <c r="AC2" s="1"/>
      <c r="AD2" s="1"/>
      <c r="AE2" s="1"/>
      <c r="AF2" s="1"/>
      <c r="AG2" s="1"/>
      <c r="AH2" s="1"/>
      <c r="AI2" s="1"/>
      <c r="AJ2" s="1"/>
      <c r="AK2" s="1"/>
      <c r="AL2" s="1"/>
      <c r="AM2" s="1"/>
      <c r="AN2" s="1"/>
      <c r="AO2" s="1"/>
      <c r="AP2" s="5"/>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row>
    <row r="3" spans="1:293" s="1" customFormat="1" ht="91.5" customHeight="1" x14ac:dyDescent="0.2">
      <c r="D3" s="7"/>
      <c r="E3" s="7"/>
      <c r="W3" s="9"/>
      <c r="AP3" s="10"/>
    </row>
    <row r="4" spans="1:293" s="1" customFormat="1" ht="21.75" customHeight="1" x14ac:dyDescent="0.2">
      <c r="D4" s="7"/>
      <c r="E4" s="7"/>
      <c r="W4" s="9"/>
      <c r="AP4" s="10"/>
    </row>
    <row r="5" spans="1:293" s="1" customFormat="1" ht="54" customHeight="1" x14ac:dyDescent="0.2">
      <c r="B5" s="8" t="s">
        <v>0</v>
      </c>
      <c r="C5" s="8" t="s">
        <v>1</v>
      </c>
      <c r="D5" s="8" t="s">
        <v>2</v>
      </c>
      <c r="E5" s="8" t="s">
        <v>3</v>
      </c>
      <c r="F5" s="8" t="s">
        <v>4</v>
      </c>
      <c r="G5" s="8" t="s">
        <v>5</v>
      </c>
      <c r="H5" s="8" t="s">
        <v>6</v>
      </c>
      <c r="I5" s="8" t="s">
        <v>7</v>
      </c>
      <c r="J5" s="8" t="s">
        <v>8</v>
      </c>
      <c r="K5" s="8" t="s">
        <v>9</v>
      </c>
      <c r="L5" s="8" t="s">
        <v>10</v>
      </c>
      <c r="M5" s="8" t="s">
        <v>11</v>
      </c>
      <c r="N5" s="8" t="s">
        <v>12</v>
      </c>
      <c r="O5" s="8" t="s">
        <v>13</v>
      </c>
      <c r="P5" s="8" t="s">
        <v>14</v>
      </c>
      <c r="Q5" s="8" t="s">
        <v>15</v>
      </c>
      <c r="R5" s="8" t="s">
        <v>16</v>
      </c>
      <c r="S5" s="8" t="s">
        <v>17</v>
      </c>
      <c r="T5" s="8" t="s">
        <v>18</v>
      </c>
      <c r="U5" s="8" t="s">
        <v>19</v>
      </c>
      <c r="V5" s="8" t="s">
        <v>20</v>
      </c>
      <c r="W5" s="9"/>
      <c r="AP5" s="10"/>
      <c r="AZ5" s="10"/>
    </row>
    <row r="6" spans="1:293" ht="54" customHeight="1" x14ac:dyDescent="0.2">
      <c r="B6" s="4" t="s">
        <v>21</v>
      </c>
      <c r="C6" s="3">
        <v>45659</v>
      </c>
      <c r="D6" s="3" t="str">
        <f t="shared" ref="D6" si="0">IF(C6="","",TEXT(C6,"MMMM"))</f>
        <v>January</v>
      </c>
      <c r="E6" s="4" t="s">
        <v>22</v>
      </c>
      <c r="F6" s="4" t="s">
        <v>23</v>
      </c>
      <c r="G6" s="4" t="s">
        <v>24</v>
      </c>
      <c r="H6" s="4" t="s">
        <v>21</v>
      </c>
      <c r="I6" s="4"/>
      <c r="J6" s="4" t="s">
        <v>24</v>
      </c>
      <c r="K6" s="4">
        <v>7240200178</v>
      </c>
      <c r="L6" s="4"/>
      <c r="M6" s="4"/>
      <c r="N6" s="4" t="s">
        <v>25</v>
      </c>
      <c r="O6" s="3">
        <v>45664</v>
      </c>
      <c r="P6" s="4" t="s">
        <v>21</v>
      </c>
      <c r="Q6" s="4" t="s">
        <v>26</v>
      </c>
      <c r="R6" s="3">
        <v>45664</v>
      </c>
      <c r="S6" s="4" t="s">
        <v>21</v>
      </c>
      <c r="T6" s="4" t="str">
        <f t="shared" ref="T6" ca="1" si="1">IF(Q6="Discard","Discard",
IF(AND(M6&lt;&gt;"",M6&lt;TODAY()),"EXPIRED!",
IF(Q6&lt;&gt;"",Q6,
IF(O6&lt;&gt;"","Ready to Use",
IF(AND(I6&lt;&gt;"",O6=""),"Quarantine",
IF(AND(C6&lt;&gt;"",TODAY()-C6&gt;7),"Delayed",
IF(C6&lt;&gt;"","Ordered","No Data")))))))</f>
        <v>In Use</v>
      </c>
      <c r="U6" s="4"/>
      <c r="V6" s="4"/>
      <c r="AM6" s="10"/>
      <c r="AP6" s="10"/>
      <c r="AY6" s="10"/>
      <c r="AZ6" s="10"/>
    </row>
    <row r="7" spans="1:293" ht="54" customHeight="1" x14ac:dyDescent="0.2">
      <c r="B7" s="4"/>
      <c r="C7" s="3"/>
      <c r="D7" s="3"/>
      <c r="F7" s="4"/>
      <c r="G7" s="4"/>
      <c r="H7" s="4"/>
      <c r="I7" s="3"/>
      <c r="J7" s="4"/>
      <c r="K7" s="4"/>
      <c r="L7" s="3"/>
      <c r="M7" s="3"/>
      <c r="N7" s="4"/>
      <c r="O7" s="3"/>
      <c r="P7" s="4"/>
      <c r="Q7" s="4"/>
      <c r="R7" s="3"/>
      <c r="S7" s="4"/>
      <c r="T7" s="4"/>
      <c r="U7" s="4"/>
      <c r="V7" s="4"/>
      <c r="AM7" s="10"/>
      <c r="AP7" s="10"/>
      <c r="AY7" s="10"/>
      <c r="AZ7" s="10"/>
    </row>
    <row r="8" spans="1:293" ht="54" customHeight="1" x14ac:dyDescent="0.2">
      <c r="B8" s="4"/>
      <c r="C8" s="3"/>
      <c r="D8" s="3"/>
      <c r="F8" s="4"/>
      <c r="G8" s="4"/>
      <c r="H8" s="4"/>
      <c r="I8" s="4"/>
      <c r="J8" s="4"/>
      <c r="K8" s="4"/>
      <c r="L8" s="4"/>
      <c r="M8" s="4"/>
      <c r="N8" s="4"/>
      <c r="O8" s="3"/>
      <c r="P8" s="4"/>
      <c r="Q8" s="4"/>
      <c r="R8" s="3"/>
      <c r="S8" s="4"/>
      <c r="T8" s="4"/>
      <c r="U8" s="4"/>
      <c r="V8" s="4"/>
      <c r="AM8" s="10"/>
      <c r="AP8" s="10"/>
      <c r="AY8" s="10"/>
      <c r="AZ8" s="10"/>
    </row>
    <row r="9" spans="1:293" ht="54" customHeight="1" x14ac:dyDescent="0.2">
      <c r="B9" s="4"/>
      <c r="C9" s="3"/>
      <c r="D9" s="3"/>
      <c r="F9" s="4"/>
      <c r="G9" s="4"/>
      <c r="H9" s="4"/>
      <c r="I9" s="3"/>
      <c r="J9" s="4"/>
      <c r="K9" s="4"/>
      <c r="L9" s="4"/>
      <c r="M9" s="4"/>
      <c r="N9" s="4"/>
      <c r="O9" s="3"/>
      <c r="P9" s="4"/>
      <c r="Q9" s="4"/>
      <c r="R9" s="3"/>
      <c r="S9" s="4"/>
      <c r="T9" s="4"/>
      <c r="U9" s="4"/>
      <c r="V9" s="4"/>
      <c r="AM9" s="10"/>
      <c r="AP9" s="10"/>
      <c r="AY9" s="10"/>
      <c r="AZ9" s="10"/>
    </row>
    <row r="10" spans="1:293" ht="54" customHeight="1" x14ac:dyDescent="0.2">
      <c r="B10" s="4"/>
      <c r="C10" s="3"/>
      <c r="D10" s="3"/>
      <c r="F10" s="4"/>
      <c r="G10" s="4"/>
      <c r="H10" s="4"/>
      <c r="I10" s="4"/>
      <c r="J10" s="4"/>
      <c r="K10" s="4"/>
      <c r="L10" s="4"/>
      <c r="M10" s="4"/>
      <c r="N10" s="4"/>
      <c r="O10" s="3"/>
      <c r="P10" s="4"/>
      <c r="Q10" s="4"/>
      <c r="R10" s="3"/>
      <c r="S10" s="4"/>
      <c r="T10" s="4"/>
      <c r="U10" s="4"/>
      <c r="V10" s="4"/>
      <c r="AM10" s="10"/>
      <c r="AP10" s="10"/>
      <c r="AY10" s="10"/>
      <c r="AZ10" s="10"/>
    </row>
    <row r="11" spans="1:293" ht="54" customHeight="1" x14ac:dyDescent="0.2">
      <c r="B11" s="4"/>
      <c r="C11" s="3"/>
      <c r="D11" s="3"/>
      <c r="F11" s="4"/>
      <c r="G11" s="4"/>
      <c r="H11" s="4"/>
      <c r="I11" s="4"/>
      <c r="J11" s="4"/>
      <c r="K11" s="4"/>
      <c r="L11" s="4"/>
      <c r="M11" s="4"/>
      <c r="N11" s="4"/>
      <c r="O11" s="3"/>
      <c r="P11" s="4"/>
      <c r="Q11" s="4"/>
      <c r="R11" s="3"/>
      <c r="S11" s="4"/>
      <c r="T11" s="4"/>
      <c r="U11" s="4"/>
      <c r="V11" s="4"/>
      <c r="AM11" s="10"/>
      <c r="AP11" s="10"/>
      <c r="AY11" s="10"/>
      <c r="AZ11" s="10"/>
    </row>
    <row r="12" spans="1:293" ht="54" customHeight="1" x14ac:dyDescent="0.2">
      <c r="B12" s="4"/>
      <c r="C12" s="3"/>
      <c r="D12" s="3"/>
      <c r="F12" s="4"/>
      <c r="G12" s="4"/>
      <c r="H12" s="4"/>
      <c r="I12" s="4"/>
      <c r="J12" s="4"/>
      <c r="K12" s="4"/>
      <c r="L12" s="3"/>
      <c r="M12" s="3"/>
      <c r="N12" s="4"/>
      <c r="O12" s="3"/>
      <c r="P12" s="4"/>
      <c r="Q12" s="4"/>
      <c r="R12" s="3"/>
      <c r="S12" s="4"/>
      <c r="T12" s="4"/>
      <c r="U12" s="4"/>
      <c r="V12" s="4"/>
      <c r="AM12" s="10"/>
      <c r="AP12" s="10"/>
      <c r="AY12" s="10"/>
      <c r="AZ12" s="10"/>
    </row>
    <row r="13" spans="1:293" ht="54" customHeight="1" x14ac:dyDescent="0.2">
      <c r="B13" s="4"/>
      <c r="C13" s="3"/>
      <c r="D13" s="3"/>
      <c r="F13" s="4"/>
      <c r="G13" s="4"/>
      <c r="H13" s="4"/>
      <c r="I13" s="3"/>
      <c r="J13" s="4"/>
      <c r="K13" s="4"/>
      <c r="L13" s="3"/>
      <c r="M13" s="3"/>
      <c r="N13" s="4"/>
      <c r="O13" s="3"/>
      <c r="P13" s="4"/>
      <c r="Q13" s="4"/>
      <c r="R13" s="3"/>
      <c r="S13" s="4"/>
      <c r="T13" s="4"/>
      <c r="U13" s="4"/>
      <c r="V13" s="4"/>
      <c r="AM13" s="10"/>
      <c r="AP13" s="10"/>
      <c r="AY13" s="10"/>
      <c r="AZ13" s="10"/>
    </row>
    <row r="14" spans="1:293" ht="54" customHeight="1" x14ac:dyDescent="0.2">
      <c r="B14" s="4"/>
      <c r="C14" s="3"/>
      <c r="D14" s="3"/>
      <c r="F14" s="4"/>
      <c r="G14" s="4"/>
      <c r="H14" s="4"/>
      <c r="I14" s="3"/>
      <c r="J14" s="4"/>
      <c r="K14" s="4"/>
      <c r="L14" s="3"/>
      <c r="M14" s="3"/>
      <c r="N14" s="4"/>
      <c r="O14" s="3"/>
      <c r="P14" s="4"/>
      <c r="Q14" s="4"/>
      <c r="R14" s="3"/>
      <c r="S14" s="4"/>
      <c r="T14" s="4"/>
      <c r="U14" s="4"/>
      <c r="V14" s="4"/>
      <c r="AM14" s="10"/>
      <c r="AP14" s="10"/>
      <c r="AY14" s="10"/>
      <c r="AZ14" s="10"/>
    </row>
    <row r="15" spans="1:293" ht="54" customHeight="1" x14ac:dyDescent="0.2">
      <c r="B15" s="4"/>
      <c r="C15" s="3"/>
      <c r="D15" s="3"/>
      <c r="F15" s="4"/>
      <c r="G15" s="4"/>
      <c r="H15" s="4"/>
      <c r="I15" s="3"/>
      <c r="J15" s="4"/>
      <c r="K15" s="4"/>
      <c r="L15" s="3"/>
      <c r="M15" s="3"/>
      <c r="N15" s="4"/>
      <c r="O15" s="3"/>
      <c r="P15" s="4"/>
      <c r="Q15" s="4"/>
      <c r="R15" s="3"/>
      <c r="S15" s="4"/>
      <c r="T15" s="4"/>
      <c r="U15" s="4"/>
      <c r="V15" s="4"/>
      <c r="AM15" s="10"/>
      <c r="AP15" s="10"/>
      <c r="AY15" s="10"/>
      <c r="AZ15" s="10"/>
    </row>
    <row r="16" spans="1:293" ht="54" customHeight="1" x14ac:dyDescent="0.2">
      <c r="B16" s="4"/>
      <c r="C16" s="3"/>
      <c r="D16" s="3"/>
      <c r="F16" s="4"/>
      <c r="G16" s="4"/>
      <c r="H16" s="4"/>
      <c r="I16" s="3"/>
      <c r="J16" s="4"/>
      <c r="K16" s="4"/>
      <c r="L16" s="3"/>
      <c r="M16" s="3"/>
      <c r="N16" s="4"/>
      <c r="O16" s="3"/>
      <c r="P16" s="4"/>
      <c r="Q16" s="4"/>
      <c r="R16" s="3"/>
      <c r="S16" s="4"/>
      <c r="T16" s="4"/>
      <c r="U16" s="4"/>
      <c r="V16" s="4"/>
      <c r="AM16" s="10"/>
      <c r="AP16" s="10"/>
      <c r="AY16" s="10"/>
      <c r="AZ16" s="10"/>
    </row>
    <row r="17" spans="2:52" ht="54" customHeight="1" x14ac:dyDescent="0.2">
      <c r="B17" s="4"/>
      <c r="C17" s="3"/>
      <c r="D17" s="3"/>
      <c r="F17" s="4"/>
      <c r="G17" s="4"/>
      <c r="H17" s="4"/>
      <c r="I17" s="3"/>
      <c r="J17" s="4"/>
      <c r="K17" s="4"/>
      <c r="L17" s="4"/>
      <c r="M17" s="3"/>
      <c r="N17" s="4"/>
      <c r="O17" s="3"/>
      <c r="P17" s="4"/>
      <c r="Q17" s="4"/>
      <c r="R17" s="3"/>
      <c r="S17" s="4"/>
      <c r="T17" s="4"/>
      <c r="U17" s="4"/>
      <c r="V17" s="4"/>
      <c r="AM17" s="10"/>
      <c r="AP17" s="10"/>
      <c r="AY17" s="10"/>
      <c r="AZ17" s="10"/>
    </row>
    <row r="18" spans="2:52" ht="54" customHeight="1" x14ac:dyDescent="0.2">
      <c r="B18" s="4"/>
      <c r="C18" s="3"/>
      <c r="D18" s="3"/>
      <c r="F18" s="4"/>
      <c r="G18" s="4"/>
      <c r="H18" s="4"/>
      <c r="I18" s="3"/>
      <c r="J18" s="4"/>
      <c r="K18" s="4"/>
      <c r="L18" s="4"/>
      <c r="M18" s="4"/>
      <c r="N18" s="4"/>
      <c r="O18" s="3"/>
      <c r="P18" s="4"/>
      <c r="Q18" s="4"/>
      <c r="R18" s="3"/>
      <c r="S18" s="4"/>
      <c r="T18" s="4"/>
      <c r="U18" s="4"/>
      <c r="V18" s="4"/>
      <c r="AM18" s="10"/>
      <c r="AP18" s="10"/>
      <c r="AY18" s="10"/>
      <c r="AZ18" s="10"/>
    </row>
    <row r="19" spans="2:52" ht="54" customHeight="1" x14ac:dyDescent="0.2">
      <c r="B19" s="4"/>
      <c r="C19" s="3"/>
      <c r="D19" s="3"/>
      <c r="F19" s="4"/>
      <c r="G19" s="4"/>
      <c r="H19" s="4"/>
      <c r="I19" s="3"/>
      <c r="J19" s="4"/>
      <c r="K19" s="4"/>
      <c r="L19" s="3"/>
      <c r="M19" s="3"/>
      <c r="N19" s="4"/>
      <c r="O19" s="3"/>
      <c r="P19" s="4"/>
      <c r="Q19" s="4"/>
      <c r="R19" s="3"/>
      <c r="S19" s="4"/>
      <c r="T19" s="4"/>
      <c r="U19" s="4"/>
      <c r="V19" s="4"/>
      <c r="AM19" s="10"/>
      <c r="AP19" s="10"/>
      <c r="AY19" s="10"/>
      <c r="AZ19" s="10"/>
    </row>
    <row r="20" spans="2:52" ht="54" customHeight="1" x14ac:dyDescent="0.2">
      <c r="B20" s="4"/>
      <c r="C20" s="3"/>
      <c r="D20" s="3"/>
      <c r="F20" s="4"/>
      <c r="G20" s="4"/>
      <c r="H20" s="4"/>
      <c r="I20" s="4"/>
      <c r="J20" s="4"/>
      <c r="K20" s="4"/>
      <c r="L20" s="4"/>
      <c r="M20" s="3"/>
      <c r="N20" s="4"/>
      <c r="O20" s="3"/>
      <c r="P20" s="4"/>
      <c r="Q20" s="4"/>
      <c r="R20" s="3"/>
      <c r="S20" s="4"/>
      <c r="T20" s="4"/>
      <c r="U20" s="4"/>
      <c r="V20" s="4"/>
      <c r="AM20" s="10"/>
      <c r="AP20" s="10"/>
      <c r="AY20" s="10"/>
      <c r="AZ20" s="10"/>
    </row>
    <row r="21" spans="2:52" ht="54" customHeight="1" x14ac:dyDescent="0.2">
      <c r="B21" s="4"/>
      <c r="C21" s="3"/>
      <c r="D21" s="3"/>
      <c r="F21" s="4"/>
      <c r="G21" s="4"/>
      <c r="H21" s="4"/>
      <c r="I21" s="3"/>
      <c r="J21" s="4"/>
      <c r="K21" s="4"/>
      <c r="L21" s="4"/>
      <c r="M21" s="3"/>
      <c r="N21" s="4"/>
      <c r="O21" s="3"/>
      <c r="P21" s="4"/>
      <c r="Q21" s="4"/>
      <c r="R21" s="3"/>
      <c r="S21" s="4"/>
      <c r="T21" s="4"/>
      <c r="U21" s="4"/>
      <c r="V21" s="4"/>
      <c r="AM21" s="10"/>
      <c r="AP21" s="10"/>
      <c r="AY21" s="10"/>
    </row>
    <row r="22" spans="2:52" ht="54" customHeight="1" x14ac:dyDescent="0.2">
      <c r="B22" s="4"/>
      <c r="C22" s="3"/>
      <c r="D22" s="3"/>
      <c r="F22" s="4"/>
      <c r="G22" s="4"/>
      <c r="H22" s="4"/>
      <c r="I22" s="3"/>
      <c r="J22" s="4"/>
      <c r="K22" s="4"/>
      <c r="L22" s="4"/>
      <c r="M22" s="3"/>
      <c r="N22" s="4"/>
      <c r="O22" s="3"/>
      <c r="P22" s="4"/>
      <c r="Q22" s="4"/>
      <c r="R22" s="3"/>
      <c r="S22" s="4"/>
      <c r="T22" s="4"/>
      <c r="U22" s="4"/>
      <c r="V22" s="4"/>
      <c r="AM22" s="10"/>
      <c r="AP22" s="10"/>
      <c r="AZ22" s="5"/>
    </row>
    <row r="23" spans="2:52" ht="54" customHeight="1" x14ac:dyDescent="0.2">
      <c r="B23" s="4"/>
      <c r="C23" s="3"/>
      <c r="D23" s="3"/>
      <c r="F23" s="4"/>
      <c r="G23" s="4"/>
      <c r="H23" s="4"/>
      <c r="I23" s="3"/>
      <c r="J23" s="4"/>
      <c r="K23" s="4"/>
      <c r="L23" s="4"/>
      <c r="M23" s="3"/>
      <c r="N23" s="4"/>
      <c r="O23" s="3"/>
      <c r="P23" s="4"/>
      <c r="Q23" s="4"/>
      <c r="R23" s="3"/>
      <c r="S23" s="4"/>
      <c r="T23" s="4"/>
      <c r="U23" s="4"/>
      <c r="V23" s="4"/>
      <c r="AM23" s="10"/>
      <c r="AP23" s="10"/>
      <c r="AY23" s="5"/>
      <c r="AZ23" s="10"/>
    </row>
    <row r="24" spans="2:52" ht="54" customHeight="1" x14ac:dyDescent="0.2">
      <c r="B24" s="4"/>
      <c r="C24" s="3"/>
      <c r="D24" s="3"/>
      <c r="F24" s="4"/>
      <c r="G24" s="4"/>
      <c r="H24" s="4"/>
      <c r="I24" s="3"/>
      <c r="J24" s="4"/>
      <c r="K24" s="4"/>
      <c r="L24" s="3"/>
      <c r="M24" s="3"/>
      <c r="N24" s="4"/>
      <c r="O24" s="3"/>
      <c r="P24" s="4"/>
      <c r="Q24" s="4"/>
      <c r="R24" s="3"/>
      <c r="S24" s="4"/>
      <c r="T24" s="4"/>
      <c r="U24" s="4"/>
      <c r="V24" s="4"/>
      <c r="AM24" s="10"/>
      <c r="AY24" s="10"/>
      <c r="AZ24" s="10"/>
    </row>
    <row r="25" spans="2:52" ht="54" customHeight="1" x14ac:dyDescent="0.2">
      <c r="B25" s="4"/>
      <c r="C25" s="3"/>
      <c r="D25" s="3"/>
      <c r="F25" s="4"/>
      <c r="G25" s="4"/>
      <c r="H25" s="4"/>
      <c r="I25" s="3"/>
      <c r="J25" s="4"/>
      <c r="K25" s="4"/>
      <c r="L25" s="3"/>
      <c r="M25" s="3"/>
      <c r="N25" s="4"/>
      <c r="O25" s="3"/>
      <c r="P25" s="4"/>
      <c r="Q25" s="4"/>
      <c r="R25" s="3"/>
      <c r="S25" s="4"/>
      <c r="T25" s="4"/>
      <c r="U25" s="4"/>
      <c r="V25" s="4"/>
      <c r="AM25" s="10"/>
      <c r="AP25" s="5"/>
      <c r="AY25" s="10"/>
      <c r="AZ25" s="10"/>
    </row>
    <row r="26" spans="2:52" ht="54" customHeight="1" x14ac:dyDescent="0.2">
      <c r="B26" s="4"/>
      <c r="C26" s="3"/>
      <c r="D26" s="3"/>
      <c r="F26" s="4"/>
      <c r="G26" s="4"/>
      <c r="H26" s="4"/>
      <c r="I26" s="3"/>
      <c r="J26" s="4"/>
      <c r="K26" s="4"/>
      <c r="L26" s="4"/>
      <c r="M26" s="3"/>
      <c r="N26" s="4"/>
      <c r="O26" s="3"/>
      <c r="P26" s="4"/>
      <c r="Q26" s="4"/>
      <c r="R26" s="3"/>
      <c r="S26" s="4"/>
      <c r="T26" s="4"/>
      <c r="U26" s="4"/>
      <c r="V26" s="4"/>
      <c r="AM26" s="10"/>
      <c r="AP26" s="10"/>
      <c r="AY26" s="10"/>
      <c r="AZ26" s="10"/>
    </row>
    <row r="27" spans="2:52" ht="54" customHeight="1" x14ac:dyDescent="0.2">
      <c r="B27" s="4"/>
      <c r="C27" s="3"/>
      <c r="D27" s="3"/>
      <c r="F27" s="4"/>
      <c r="G27" s="4"/>
      <c r="H27" s="4"/>
      <c r="I27" s="3"/>
      <c r="J27" s="4"/>
      <c r="K27" s="4"/>
      <c r="L27" s="3"/>
      <c r="M27" s="3"/>
      <c r="N27" s="4"/>
      <c r="O27" s="3"/>
      <c r="P27" s="4"/>
      <c r="Q27" s="4"/>
      <c r="R27" s="3"/>
      <c r="S27" s="4"/>
      <c r="T27" s="4"/>
      <c r="U27" s="4"/>
      <c r="V27" s="4"/>
      <c r="AP27" s="10"/>
      <c r="AY27" s="10"/>
      <c r="AZ27" s="10"/>
    </row>
    <row r="28" spans="2:52" ht="54" customHeight="1" x14ac:dyDescent="0.2">
      <c r="B28" s="4"/>
      <c r="C28" s="3"/>
      <c r="D28" s="3"/>
      <c r="F28" s="4"/>
      <c r="G28" s="4"/>
      <c r="H28" s="4"/>
      <c r="I28" s="3"/>
      <c r="J28" s="4"/>
      <c r="K28" s="4"/>
      <c r="L28" s="4"/>
      <c r="M28" s="3"/>
      <c r="N28" s="4"/>
      <c r="O28" s="3"/>
      <c r="P28" s="4"/>
      <c r="Q28" s="4"/>
      <c r="R28" s="3"/>
      <c r="S28" s="4"/>
      <c r="T28" s="4"/>
      <c r="U28" s="4"/>
      <c r="V28" s="4"/>
      <c r="AP28" s="10"/>
      <c r="AY28" s="10"/>
      <c r="AZ28" s="10"/>
    </row>
    <row r="29" spans="2:52" ht="54" customHeight="1" x14ac:dyDescent="0.2">
      <c r="B29" s="4"/>
      <c r="C29" s="3"/>
      <c r="D29" s="3"/>
      <c r="F29" s="4"/>
      <c r="G29" s="4"/>
      <c r="H29" s="4"/>
      <c r="I29" s="3"/>
      <c r="J29" s="4"/>
      <c r="K29" s="4"/>
      <c r="L29" s="4"/>
      <c r="M29" s="3"/>
      <c r="N29" s="4"/>
      <c r="O29" s="3"/>
      <c r="P29" s="4"/>
      <c r="Q29" s="4"/>
      <c r="R29" s="3"/>
      <c r="S29" s="4"/>
      <c r="T29" s="4"/>
      <c r="U29" s="4"/>
      <c r="V29" s="4"/>
      <c r="AP29" s="10"/>
      <c r="AY29" s="10"/>
      <c r="AZ29" s="10"/>
    </row>
    <row r="30" spans="2:52" ht="54" customHeight="1" x14ac:dyDescent="0.2">
      <c r="B30" s="4"/>
      <c r="C30" s="3"/>
      <c r="D30" s="3"/>
      <c r="F30" s="4"/>
      <c r="G30" s="4"/>
      <c r="H30" s="4"/>
      <c r="I30" s="3"/>
      <c r="J30" s="4"/>
      <c r="K30" s="4"/>
      <c r="L30" s="4"/>
      <c r="M30" s="3"/>
      <c r="N30" s="4"/>
      <c r="O30" s="3"/>
      <c r="P30" s="4"/>
      <c r="Q30" s="4"/>
      <c r="R30" s="3"/>
      <c r="S30" s="4"/>
      <c r="T30" s="4"/>
      <c r="U30" s="4"/>
      <c r="V30" s="4"/>
      <c r="AP30" s="10"/>
      <c r="AY30" s="10"/>
      <c r="AZ30" s="10"/>
    </row>
    <row r="31" spans="2:52" ht="54" customHeight="1" x14ac:dyDescent="0.2">
      <c r="B31" s="4"/>
      <c r="C31" s="3"/>
      <c r="D31" s="3"/>
      <c r="F31" s="4"/>
      <c r="G31" s="4"/>
      <c r="H31" s="4"/>
      <c r="I31" s="3"/>
      <c r="J31" s="4"/>
      <c r="K31" s="4"/>
      <c r="L31" s="4"/>
      <c r="M31" s="3"/>
      <c r="N31" s="4"/>
      <c r="O31" s="3"/>
      <c r="P31" s="4"/>
      <c r="Q31" s="4"/>
      <c r="R31" s="3"/>
      <c r="S31" s="4"/>
      <c r="T31" s="4"/>
      <c r="U31" s="4"/>
      <c r="V31" s="4"/>
      <c r="AP31" s="10"/>
      <c r="AY31" s="10"/>
      <c r="AZ31" s="10"/>
    </row>
    <row r="32" spans="2:52" ht="54" customHeight="1" x14ac:dyDescent="0.2">
      <c r="B32" s="4"/>
      <c r="C32" s="3"/>
      <c r="D32" s="3"/>
      <c r="F32" s="4"/>
      <c r="G32" s="4"/>
      <c r="H32" s="4"/>
      <c r="I32" s="3"/>
      <c r="J32" s="4"/>
      <c r="K32" s="4"/>
      <c r="L32" s="4"/>
      <c r="M32" s="3"/>
      <c r="N32" s="4"/>
      <c r="O32" s="3"/>
      <c r="P32" s="4"/>
      <c r="Q32" s="4"/>
      <c r="R32" s="3"/>
      <c r="S32" s="4"/>
      <c r="T32" s="4"/>
      <c r="U32" s="4"/>
      <c r="V32" s="4"/>
      <c r="AP32" s="10"/>
      <c r="AY32" s="10"/>
      <c r="AZ32" s="10"/>
    </row>
    <row r="33" spans="2:52" ht="54" customHeight="1" x14ac:dyDescent="0.2">
      <c r="B33" s="4"/>
      <c r="C33" s="3"/>
      <c r="D33" s="3"/>
      <c r="F33" s="4"/>
      <c r="G33" s="4"/>
      <c r="H33" s="4"/>
      <c r="I33" s="3"/>
      <c r="J33" s="4"/>
      <c r="K33" s="4"/>
      <c r="L33" s="4"/>
      <c r="M33" s="3"/>
      <c r="N33" s="4"/>
      <c r="O33" s="3"/>
      <c r="P33" s="4"/>
      <c r="Q33" s="4"/>
      <c r="R33" s="3"/>
      <c r="S33" s="4"/>
      <c r="T33" s="4"/>
      <c r="U33" s="4"/>
      <c r="V33" s="4"/>
      <c r="AP33" s="10"/>
      <c r="AY33" s="10"/>
      <c r="AZ33" s="10"/>
    </row>
    <row r="34" spans="2:52" ht="54" customHeight="1" x14ac:dyDescent="0.2">
      <c r="B34" s="4"/>
      <c r="C34" s="3"/>
      <c r="D34" s="3"/>
      <c r="F34" s="4"/>
      <c r="G34" s="4"/>
      <c r="H34" s="4"/>
      <c r="I34" s="3"/>
      <c r="J34" s="4"/>
      <c r="K34" s="4"/>
      <c r="L34" s="4"/>
      <c r="M34" s="4"/>
      <c r="N34" s="4"/>
      <c r="O34" s="3"/>
      <c r="P34" s="4"/>
      <c r="Q34" s="4"/>
      <c r="R34" s="3"/>
      <c r="S34" s="4"/>
      <c r="T34" s="4"/>
      <c r="U34" s="4"/>
      <c r="V34" s="4"/>
      <c r="AP34" s="10"/>
      <c r="AY34" s="10"/>
      <c r="AZ34" s="10"/>
    </row>
    <row r="35" spans="2:52" ht="54" customHeight="1" x14ac:dyDescent="0.2">
      <c r="B35" s="4"/>
      <c r="C35" s="3"/>
      <c r="D35" s="3"/>
      <c r="F35" s="4"/>
      <c r="G35" s="4"/>
      <c r="H35" s="4"/>
      <c r="I35" s="3"/>
      <c r="J35" s="4"/>
      <c r="K35" s="4"/>
      <c r="L35" s="4"/>
      <c r="M35" s="4"/>
      <c r="N35" s="4"/>
      <c r="O35" s="3"/>
      <c r="P35" s="4"/>
      <c r="Q35" s="4"/>
      <c r="R35" s="3"/>
      <c r="S35" s="4"/>
      <c r="T35" s="4"/>
      <c r="U35" s="4"/>
      <c r="V35" s="4"/>
      <c r="AP35" s="10"/>
      <c r="AY35" s="10"/>
      <c r="AZ35" s="10"/>
    </row>
    <row r="36" spans="2:52" ht="54" customHeight="1" x14ac:dyDescent="0.2">
      <c r="B36" s="4"/>
      <c r="C36" s="3"/>
      <c r="D36" s="3"/>
      <c r="F36" s="4"/>
      <c r="G36" s="4"/>
      <c r="H36" s="4"/>
      <c r="I36" s="3"/>
      <c r="J36" s="4"/>
      <c r="K36" s="4"/>
      <c r="L36" s="4"/>
      <c r="M36" s="3"/>
      <c r="N36" s="4"/>
      <c r="O36" s="3"/>
      <c r="P36" s="4"/>
      <c r="Q36" s="4"/>
      <c r="R36" s="3"/>
      <c r="S36" s="4"/>
      <c r="T36" s="4"/>
      <c r="U36" s="4"/>
      <c r="V36" s="4"/>
      <c r="AP36" s="10"/>
      <c r="AY36" s="10"/>
      <c r="AZ36" s="10"/>
    </row>
    <row r="37" spans="2:52" ht="54" customHeight="1" x14ac:dyDescent="0.2">
      <c r="B37" s="4"/>
      <c r="C37" s="3"/>
      <c r="D37" s="3"/>
      <c r="F37" s="4"/>
      <c r="G37" s="4"/>
      <c r="H37" s="4"/>
      <c r="I37" s="3"/>
      <c r="J37" s="4"/>
      <c r="K37" s="4"/>
      <c r="L37" s="3"/>
      <c r="M37" s="3"/>
      <c r="N37" s="4"/>
      <c r="O37" s="3"/>
      <c r="P37" s="4"/>
      <c r="Q37" s="4"/>
      <c r="R37" s="3"/>
      <c r="S37" s="4"/>
      <c r="T37" s="4"/>
      <c r="U37" s="4"/>
      <c r="V37" s="4"/>
      <c r="AP37" s="10"/>
      <c r="AY37" s="10"/>
      <c r="AZ37" s="10"/>
    </row>
    <row r="38" spans="2:52" ht="54" customHeight="1" x14ac:dyDescent="0.2">
      <c r="B38" s="4"/>
      <c r="C38" s="3"/>
      <c r="D38" s="3"/>
      <c r="F38" s="4"/>
      <c r="G38" s="4"/>
      <c r="H38" s="4"/>
      <c r="I38" s="3"/>
      <c r="J38" s="4"/>
      <c r="K38" s="4"/>
      <c r="L38" s="4"/>
      <c r="M38" s="3"/>
      <c r="N38" s="4"/>
      <c r="O38" s="3"/>
      <c r="P38" s="4"/>
      <c r="Q38" s="4"/>
      <c r="R38" s="3"/>
      <c r="S38" s="4"/>
      <c r="T38" s="4"/>
      <c r="U38" s="4"/>
      <c r="V38" s="4"/>
      <c r="AP38" s="10"/>
      <c r="AY38" s="10"/>
      <c r="AZ38" s="10"/>
    </row>
    <row r="39" spans="2:52" ht="54" customHeight="1" x14ac:dyDescent="0.2">
      <c r="B39" s="4"/>
      <c r="C39" s="3"/>
      <c r="D39" s="3"/>
      <c r="F39" s="4"/>
      <c r="G39" s="4"/>
      <c r="H39" s="4"/>
      <c r="I39" s="3"/>
      <c r="J39" s="4"/>
      <c r="K39" s="4"/>
      <c r="L39" s="3"/>
      <c r="M39" s="3"/>
      <c r="N39" s="4"/>
      <c r="O39" s="3"/>
      <c r="P39" s="4"/>
      <c r="Q39" s="4"/>
      <c r="R39" s="3"/>
      <c r="S39" s="4"/>
      <c r="T39" s="4"/>
      <c r="U39" s="4"/>
      <c r="V39" s="4"/>
      <c r="AP39" s="10"/>
      <c r="AY39" s="10"/>
      <c r="AZ39" s="10"/>
    </row>
    <row r="40" spans="2:52" ht="54" customHeight="1" x14ac:dyDescent="0.2">
      <c r="B40" s="4"/>
      <c r="C40" s="3"/>
      <c r="D40" s="3"/>
      <c r="F40" s="4"/>
      <c r="G40" s="4"/>
      <c r="H40" s="4"/>
      <c r="I40" s="3"/>
      <c r="J40" s="4"/>
      <c r="K40" s="4"/>
      <c r="L40" s="3"/>
      <c r="M40" s="3"/>
      <c r="N40" s="4"/>
      <c r="O40" s="3"/>
      <c r="P40" s="4"/>
      <c r="Q40" s="4"/>
      <c r="R40" s="3"/>
      <c r="S40" s="4"/>
      <c r="T40" s="4"/>
      <c r="U40" s="4"/>
      <c r="V40" s="4"/>
      <c r="AP40" s="10"/>
      <c r="AY40" s="10"/>
    </row>
    <row r="41" spans="2:52" ht="54" customHeight="1" x14ac:dyDescent="0.2">
      <c r="B41" s="4"/>
      <c r="C41" s="3"/>
      <c r="D41" s="3"/>
      <c r="F41" s="4"/>
      <c r="G41" s="4"/>
      <c r="H41" s="4"/>
      <c r="I41" s="3"/>
      <c r="J41" s="4"/>
      <c r="K41" s="4"/>
      <c r="L41" s="4"/>
      <c r="M41" s="3"/>
      <c r="N41" s="4"/>
      <c r="O41" s="3"/>
      <c r="P41" s="4"/>
      <c r="Q41" s="4"/>
      <c r="R41" s="3"/>
      <c r="S41" s="4"/>
      <c r="T41" s="4"/>
      <c r="U41" s="4"/>
      <c r="V41" s="4"/>
      <c r="AP41" s="10"/>
      <c r="AZ41" s="5"/>
    </row>
    <row r="42" spans="2:52" ht="54" customHeight="1" x14ac:dyDescent="0.2">
      <c r="B42" s="4"/>
      <c r="C42" s="3"/>
      <c r="D42" s="3"/>
      <c r="F42" s="4"/>
      <c r="G42" s="4"/>
      <c r="H42" s="4"/>
      <c r="I42" s="3"/>
      <c r="J42" s="4"/>
      <c r="K42" s="4"/>
      <c r="L42" s="4"/>
      <c r="M42" s="3"/>
      <c r="N42" s="4"/>
      <c r="O42" s="3"/>
      <c r="P42" s="4"/>
      <c r="Q42" s="4"/>
      <c r="R42" s="3"/>
      <c r="S42" s="4"/>
      <c r="T42" s="4"/>
      <c r="U42" s="4"/>
      <c r="V42" s="4"/>
      <c r="AP42" s="10"/>
      <c r="AY42" s="5"/>
      <c r="AZ42" s="10"/>
    </row>
    <row r="43" spans="2:52" ht="54" customHeight="1" x14ac:dyDescent="0.2">
      <c r="B43" s="4"/>
      <c r="C43" s="3"/>
      <c r="D43" s="3"/>
      <c r="F43" s="4"/>
      <c r="G43" s="4"/>
      <c r="H43" s="4"/>
      <c r="I43" s="3"/>
      <c r="J43" s="4"/>
      <c r="K43" s="4"/>
      <c r="L43" s="4"/>
      <c r="M43" s="3"/>
      <c r="N43" s="4"/>
      <c r="O43" s="3"/>
      <c r="P43" s="4"/>
      <c r="Q43" s="4"/>
      <c r="R43" s="3"/>
      <c r="S43" s="4"/>
      <c r="T43" s="4"/>
      <c r="U43" s="4"/>
      <c r="V43" s="4"/>
      <c r="AY43" s="10"/>
      <c r="AZ43" s="10"/>
    </row>
    <row r="44" spans="2:52" ht="54" customHeight="1" x14ac:dyDescent="0.2">
      <c r="B44" s="4"/>
      <c r="C44" s="3"/>
      <c r="D44" s="3"/>
      <c r="F44" s="4"/>
      <c r="G44" s="4"/>
      <c r="H44" s="4"/>
      <c r="I44" s="3"/>
      <c r="J44" s="4"/>
      <c r="K44" s="4"/>
      <c r="L44" s="4"/>
      <c r="M44" s="4"/>
      <c r="N44" s="4"/>
      <c r="O44" s="3"/>
      <c r="P44" s="4"/>
      <c r="Q44" s="4"/>
      <c r="R44" s="3"/>
      <c r="S44" s="4"/>
      <c r="T44" s="4"/>
      <c r="U44" s="4"/>
      <c r="V44" s="4"/>
      <c r="AP44" s="5"/>
      <c r="AY44" s="10"/>
      <c r="AZ44" s="10"/>
    </row>
    <row r="45" spans="2:52" ht="54" customHeight="1" x14ac:dyDescent="0.2">
      <c r="B45" s="4"/>
      <c r="C45" s="3"/>
      <c r="D45" s="3"/>
      <c r="F45" s="4"/>
      <c r="G45" s="4"/>
      <c r="H45" s="4"/>
      <c r="I45" s="4"/>
      <c r="J45" s="4"/>
      <c r="K45" s="4"/>
      <c r="L45" s="4"/>
      <c r="M45" s="4"/>
      <c r="N45" s="4"/>
      <c r="O45" s="3"/>
      <c r="P45" s="4"/>
      <c r="Q45" s="4"/>
      <c r="R45" s="3"/>
      <c r="S45" s="4"/>
      <c r="T45" s="4"/>
      <c r="U45" s="4"/>
      <c r="V45" s="4"/>
      <c r="AP45" s="10"/>
      <c r="AY45" s="10"/>
      <c r="AZ45" s="10"/>
    </row>
    <row r="46" spans="2:52" ht="54" customHeight="1" x14ac:dyDescent="0.2">
      <c r="B46" s="4"/>
      <c r="C46" s="3"/>
      <c r="D46" s="3"/>
      <c r="F46" s="4"/>
      <c r="G46" s="4"/>
      <c r="H46" s="4"/>
      <c r="I46" s="4"/>
      <c r="J46" s="4"/>
      <c r="K46" s="4"/>
      <c r="L46" s="4"/>
      <c r="M46" s="4"/>
      <c r="N46" s="4"/>
      <c r="O46" s="3"/>
      <c r="P46" s="4"/>
      <c r="Q46" s="4"/>
      <c r="R46" s="3"/>
      <c r="S46" s="4"/>
      <c r="T46" s="4"/>
      <c r="U46" s="4"/>
      <c r="V46" s="4"/>
      <c r="AP46" s="10"/>
      <c r="AY46" s="10"/>
      <c r="AZ46" s="10"/>
    </row>
    <row r="47" spans="2:52" ht="54" customHeight="1" x14ac:dyDescent="0.2">
      <c r="B47" s="4"/>
      <c r="C47" s="3"/>
      <c r="D47" s="3"/>
      <c r="F47" s="4"/>
      <c r="G47" s="4"/>
      <c r="H47" s="4"/>
      <c r="I47" s="3"/>
      <c r="J47" s="4"/>
      <c r="K47" s="4"/>
      <c r="L47" s="4"/>
      <c r="M47" s="4"/>
      <c r="N47" s="4"/>
      <c r="O47" s="3"/>
      <c r="P47" s="4"/>
      <c r="Q47" s="4"/>
      <c r="R47" s="3"/>
      <c r="S47" s="4"/>
      <c r="T47" s="4"/>
      <c r="U47" s="4"/>
      <c r="V47" s="4"/>
      <c r="AP47" s="10"/>
      <c r="AY47" s="10"/>
    </row>
    <row r="48" spans="2:52" ht="54" customHeight="1" x14ac:dyDescent="0.2">
      <c r="B48" s="4"/>
      <c r="C48" s="3"/>
      <c r="D48" s="3"/>
      <c r="F48" s="4"/>
      <c r="G48" s="4"/>
      <c r="H48" s="4"/>
      <c r="I48" s="3"/>
      <c r="J48" s="4"/>
      <c r="K48" s="4"/>
      <c r="L48" s="4"/>
      <c r="M48" s="3"/>
      <c r="N48" s="4"/>
      <c r="O48" s="3"/>
      <c r="P48" s="4"/>
      <c r="Q48" s="4"/>
      <c r="R48" s="3"/>
      <c r="S48" s="4"/>
      <c r="T48" s="4"/>
      <c r="U48" s="4"/>
      <c r="V48" s="4"/>
      <c r="AP48" s="10"/>
      <c r="AZ48" s="5"/>
    </row>
    <row r="49" spans="2:52" ht="54" customHeight="1" x14ac:dyDescent="0.2">
      <c r="B49" s="4"/>
      <c r="C49" s="3"/>
      <c r="D49" s="3"/>
      <c r="F49" s="4"/>
      <c r="G49" s="4"/>
      <c r="H49" s="4"/>
      <c r="I49" s="3"/>
      <c r="J49" s="4"/>
      <c r="K49" s="4"/>
      <c r="L49" s="4"/>
      <c r="M49" s="3"/>
      <c r="N49" s="4"/>
      <c r="O49" s="3"/>
      <c r="P49" s="4"/>
      <c r="Q49" s="4"/>
      <c r="R49" s="3"/>
      <c r="S49" s="4"/>
      <c r="T49" s="4"/>
      <c r="U49" s="4"/>
      <c r="V49" s="4"/>
      <c r="AP49" s="10"/>
      <c r="AY49" s="5"/>
      <c r="AZ49" s="10"/>
    </row>
    <row r="50" spans="2:52" ht="54" customHeight="1" x14ac:dyDescent="0.2">
      <c r="B50" s="4"/>
      <c r="C50" s="3"/>
      <c r="D50" s="3"/>
      <c r="F50" s="4"/>
      <c r="G50" s="4"/>
      <c r="H50" s="4"/>
      <c r="I50" s="3"/>
      <c r="J50" s="4"/>
      <c r="K50" s="4"/>
      <c r="L50" s="4"/>
      <c r="M50" s="3"/>
      <c r="N50" s="4"/>
      <c r="O50" s="3"/>
      <c r="P50" s="4"/>
      <c r="Q50" s="4"/>
      <c r="R50" s="3"/>
      <c r="S50" s="4"/>
      <c r="T50" s="4"/>
      <c r="U50" s="4"/>
      <c r="V50" s="4"/>
      <c r="AY50" s="10"/>
      <c r="AZ50" s="10"/>
    </row>
    <row r="51" spans="2:52" ht="54" customHeight="1" x14ac:dyDescent="0.2">
      <c r="B51" s="4"/>
      <c r="C51" s="3"/>
      <c r="D51" s="3"/>
      <c r="F51" s="4"/>
      <c r="G51" s="4"/>
      <c r="H51" s="4"/>
      <c r="I51" s="3"/>
      <c r="J51" s="4"/>
      <c r="K51" s="4"/>
      <c r="L51" s="4"/>
      <c r="M51" s="3"/>
      <c r="N51" s="4"/>
      <c r="O51" s="3"/>
      <c r="P51" s="4"/>
      <c r="Q51" s="4"/>
      <c r="R51" s="3"/>
      <c r="S51" s="4"/>
      <c r="T51" s="4"/>
      <c r="U51" s="4"/>
      <c r="V51" s="4"/>
      <c r="AP51" s="5"/>
      <c r="AY51" s="10"/>
      <c r="AZ51" s="10"/>
    </row>
    <row r="52" spans="2:52" ht="54" customHeight="1" x14ac:dyDescent="0.2">
      <c r="B52" s="4"/>
      <c r="C52" s="3"/>
      <c r="D52" s="3"/>
      <c r="F52" s="4"/>
      <c r="G52" s="4"/>
      <c r="H52" s="4"/>
      <c r="I52" s="3"/>
      <c r="J52" s="4"/>
      <c r="K52" s="4"/>
      <c r="L52" s="4"/>
      <c r="M52" s="3"/>
      <c r="N52" s="4"/>
      <c r="O52" s="3"/>
      <c r="P52" s="4"/>
      <c r="Q52" s="4"/>
      <c r="R52" s="3"/>
      <c r="S52" s="4"/>
      <c r="T52" s="4"/>
      <c r="U52" s="4"/>
      <c r="V52" s="4"/>
      <c r="AP52" s="10"/>
      <c r="AY52" s="10"/>
      <c r="AZ52" s="10"/>
    </row>
    <row r="53" spans="2:52" ht="54" customHeight="1" x14ac:dyDescent="0.2">
      <c r="B53" s="4"/>
      <c r="C53" s="3"/>
      <c r="D53" s="3"/>
      <c r="F53" s="4"/>
      <c r="G53" s="4"/>
      <c r="H53" s="4"/>
      <c r="I53" s="3"/>
      <c r="J53" s="4"/>
      <c r="K53" s="4"/>
      <c r="L53" s="3"/>
      <c r="M53" s="3"/>
      <c r="N53" s="4"/>
      <c r="O53" s="3"/>
      <c r="P53" s="4"/>
      <c r="Q53" s="4"/>
      <c r="R53" s="3"/>
      <c r="S53" s="4"/>
      <c r="T53" s="4"/>
      <c r="U53" s="4"/>
      <c r="V53" s="4"/>
      <c r="AP53" s="10"/>
      <c r="AY53" s="10"/>
      <c r="AZ53" s="10"/>
    </row>
    <row r="54" spans="2:52" ht="54" customHeight="1" x14ac:dyDescent="0.2">
      <c r="B54" s="4"/>
      <c r="C54" s="3"/>
      <c r="D54" s="3"/>
      <c r="F54" s="4"/>
      <c r="G54" s="4"/>
      <c r="H54" s="4"/>
      <c r="I54" s="3"/>
      <c r="J54" s="4"/>
      <c r="K54" s="4"/>
      <c r="L54" s="3"/>
      <c r="M54" s="3"/>
      <c r="N54" s="4"/>
      <c r="O54" s="3"/>
      <c r="P54" s="4"/>
      <c r="Q54" s="4"/>
      <c r="R54" s="3"/>
      <c r="S54" s="4"/>
      <c r="T54" s="4"/>
      <c r="U54" s="4"/>
      <c r="V54" s="4"/>
      <c r="AP54" s="10"/>
      <c r="AY54" s="10"/>
      <c r="AZ54" s="10"/>
    </row>
    <row r="55" spans="2:52" ht="54" customHeight="1" x14ac:dyDescent="0.2">
      <c r="B55" s="4"/>
      <c r="C55" s="3"/>
      <c r="D55" s="3"/>
      <c r="F55" s="4"/>
      <c r="G55" s="4"/>
      <c r="H55" s="4"/>
      <c r="I55" s="4"/>
      <c r="J55" s="4"/>
      <c r="K55" s="4"/>
      <c r="L55" s="4"/>
      <c r="M55" s="4"/>
      <c r="N55" s="4"/>
      <c r="O55" s="3"/>
      <c r="P55" s="4"/>
      <c r="Q55" s="4"/>
      <c r="R55" s="3"/>
      <c r="S55" s="4"/>
      <c r="T55" s="4"/>
      <c r="U55" s="4"/>
      <c r="V55" s="4"/>
      <c r="AP55" s="10"/>
      <c r="AY55" s="10"/>
      <c r="AZ55" s="10"/>
    </row>
    <row r="56" spans="2:52" ht="54" customHeight="1" x14ac:dyDescent="0.2">
      <c r="B56" s="4"/>
      <c r="C56" s="3"/>
      <c r="D56" s="3"/>
      <c r="F56" s="4"/>
      <c r="G56" s="4"/>
      <c r="H56" s="4"/>
      <c r="I56" s="3"/>
      <c r="J56" s="4"/>
      <c r="K56" s="4"/>
      <c r="L56" s="4"/>
      <c r="M56" s="3"/>
      <c r="N56" s="4"/>
      <c r="O56" s="3"/>
      <c r="P56" s="4"/>
      <c r="Q56" s="4"/>
      <c r="R56" s="3"/>
      <c r="S56" s="4"/>
      <c r="T56" s="4"/>
      <c r="U56" s="4"/>
      <c r="V56" s="4"/>
      <c r="AP56" s="10"/>
      <c r="AY56" s="10"/>
      <c r="AZ56" s="10"/>
    </row>
    <row r="57" spans="2:52" ht="54" customHeight="1" x14ac:dyDescent="0.2">
      <c r="B57" s="4"/>
      <c r="C57" s="3"/>
      <c r="D57" s="3"/>
      <c r="F57" s="4"/>
      <c r="G57" s="4"/>
      <c r="H57" s="4"/>
      <c r="I57" s="3"/>
      <c r="J57" s="4"/>
      <c r="K57" s="4"/>
      <c r="L57" s="4"/>
      <c r="M57" s="4"/>
      <c r="N57" s="4"/>
      <c r="O57" s="3"/>
      <c r="P57" s="4"/>
      <c r="Q57" s="4"/>
      <c r="R57" s="3"/>
      <c r="S57" s="4"/>
      <c r="T57" s="4"/>
      <c r="U57" s="4"/>
      <c r="V57" s="4"/>
      <c r="AP57" s="10"/>
      <c r="AY57" s="10"/>
      <c r="AZ57" s="10"/>
    </row>
    <row r="58" spans="2:52" ht="54" customHeight="1" x14ac:dyDescent="0.2">
      <c r="B58" s="4"/>
      <c r="C58" s="3"/>
      <c r="D58" s="3"/>
      <c r="F58" s="4"/>
      <c r="G58" s="4"/>
      <c r="H58" s="4"/>
      <c r="I58" s="4"/>
      <c r="J58" s="4"/>
      <c r="K58" s="4"/>
      <c r="L58" s="4"/>
      <c r="M58" s="4"/>
      <c r="N58" s="4"/>
      <c r="O58" s="3"/>
      <c r="P58" s="4"/>
      <c r="Q58" s="4"/>
      <c r="R58" s="3"/>
      <c r="S58" s="4"/>
      <c r="T58" s="4"/>
      <c r="U58" s="4"/>
      <c r="V58" s="4"/>
      <c r="AP58" s="10"/>
      <c r="AY58" s="10"/>
      <c r="AZ58" s="10"/>
    </row>
    <row r="59" spans="2:52" ht="54" customHeight="1" x14ac:dyDescent="0.2">
      <c r="B59" s="4"/>
      <c r="C59" s="3"/>
      <c r="D59" s="3"/>
      <c r="F59" s="4"/>
      <c r="G59" s="4"/>
      <c r="H59" s="4"/>
      <c r="I59" s="3"/>
      <c r="J59" s="4"/>
      <c r="K59" s="4"/>
      <c r="L59" s="4"/>
      <c r="M59" s="4"/>
      <c r="N59" s="4"/>
      <c r="O59" s="3"/>
      <c r="P59" s="4"/>
      <c r="Q59" s="4"/>
      <c r="R59" s="3"/>
      <c r="S59" s="4"/>
      <c r="T59" s="4"/>
      <c r="U59" s="4"/>
      <c r="V59" s="4"/>
      <c r="AP59" s="10"/>
      <c r="AY59" s="10"/>
      <c r="AZ59" s="10"/>
    </row>
    <row r="60" spans="2:52" ht="54" customHeight="1" x14ac:dyDescent="0.2">
      <c r="B60" s="4"/>
      <c r="C60" s="3"/>
      <c r="D60" s="3"/>
      <c r="F60" s="4"/>
      <c r="G60" s="4"/>
      <c r="H60" s="4"/>
      <c r="I60" s="3"/>
      <c r="J60" s="4"/>
      <c r="K60" s="4"/>
      <c r="L60" s="4"/>
      <c r="M60" s="3"/>
      <c r="N60" s="4"/>
      <c r="O60" s="3"/>
      <c r="P60" s="4"/>
      <c r="Q60" s="4"/>
      <c r="R60" s="3"/>
      <c r="S60" s="4"/>
      <c r="T60" s="4"/>
      <c r="U60" s="4"/>
      <c r="V60" s="4"/>
      <c r="AP60" s="10"/>
      <c r="AY60" s="10"/>
      <c r="AZ60" s="10"/>
    </row>
    <row r="61" spans="2:52" ht="54" customHeight="1" x14ac:dyDescent="0.2">
      <c r="B61" s="4"/>
      <c r="C61" s="4"/>
      <c r="D61" s="3"/>
      <c r="F61" s="4"/>
      <c r="G61" s="4"/>
      <c r="H61" s="4"/>
      <c r="I61" s="4"/>
      <c r="J61" s="4"/>
      <c r="K61" s="4"/>
      <c r="L61" s="4"/>
      <c r="M61" s="4"/>
      <c r="N61" s="4"/>
      <c r="O61" s="3"/>
      <c r="P61" s="4"/>
      <c r="Q61" s="4"/>
      <c r="R61" s="3"/>
      <c r="S61" s="4"/>
      <c r="T61" s="4"/>
      <c r="U61" s="4"/>
      <c r="V61" s="4"/>
      <c r="AP61" s="10"/>
      <c r="AY61" s="10"/>
      <c r="AZ61" s="10"/>
    </row>
    <row r="62" spans="2:52" ht="54" customHeight="1" x14ac:dyDescent="0.2">
      <c r="AP62" s="10"/>
      <c r="AY62" s="10"/>
      <c r="AZ62" s="10"/>
    </row>
    <row r="63" spans="2:52" ht="54" customHeight="1" x14ac:dyDescent="0.2">
      <c r="AP63" s="10"/>
      <c r="AY63" s="10"/>
      <c r="AZ63" s="10"/>
    </row>
    <row r="64" spans="2:52" ht="54" customHeight="1" x14ac:dyDescent="0.2">
      <c r="AP64" s="10"/>
      <c r="AY64" s="10"/>
      <c r="AZ64" s="10"/>
    </row>
    <row r="65" spans="42:52" ht="54" customHeight="1" x14ac:dyDescent="0.2">
      <c r="AP65" s="10"/>
      <c r="AY65" s="10"/>
      <c r="AZ65" s="10"/>
    </row>
    <row r="66" spans="42:52" ht="54" customHeight="1" x14ac:dyDescent="0.2">
      <c r="AP66" s="10"/>
      <c r="AY66" s="10"/>
    </row>
    <row r="67" spans="42:52" ht="54" customHeight="1" x14ac:dyDescent="0.2">
      <c r="AP67" s="10"/>
      <c r="AZ67" s="5"/>
    </row>
    <row r="68" spans="42:52" ht="54" customHeight="1" x14ac:dyDescent="0.2">
      <c r="AP68" s="10"/>
      <c r="AY68" s="5"/>
      <c r="AZ68" s="10"/>
    </row>
    <row r="69" spans="42:52" ht="54" customHeight="1" x14ac:dyDescent="0.2">
      <c r="AY69" s="10"/>
      <c r="AZ69" s="10"/>
    </row>
    <row r="70" spans="42:52" ht="54" customHeight="1" x14ac:dyDescent="0.2">
      <c r="AP70" s="5"/>
      <c r="AY70" s="10"/>
      <c r="AZ70" s="10"/>
    </row>
    <row r="71" spans="42:52" ht="54" customHeight="1" x14ac:dyDescent="0.2">
      <c r="AP71" s="10"/>
      <c r="AY71" s="10"/>
      <c r="AZ71" s="10"/>
    </row>
    <row r="72" spans="42:52" ht="54" customHeight="1" x14ac:dyDescent="0.2">
      <c r="AP72" s="10"/>
      <c r="AY72" s="10"/>
      <c r="AZ72" s="10"/>
    </row>
    <row r="73" spans="42:52" ht="54" customHeight="1" x14ac:dyDescent="0.2">
      <c r="AP73" s="10"/>
      <c r="AY73" s="10"/>
      <c r="AZ73" s="10"/>
    </row>
    <row r="74" spans="42:52" ht="54" customHeight="1" x14ac:dyDescent="0.2">
      <c r="AP74" s="10"/>
      <c r="AY74" s="10"/>
      <c r="AZ74" s="10"/>
    </row>
    <row r="75" spans="42:52" ht="54" customHeight="1" x14ac:dyDescent="0.2">
      <c r="AP75" s="10"/>
      <c r="AY75" s="10"/>
      <c r="AZ75" s="10"/>
    </row>
    <row r="76" spans="42:52" ht="54" customHeight="1" x14ac:dyDescent="0.2">
      <c r="AP76" s="10"/>
      <c r="AY76" s="10"/>
      <c r="AZ76" s="10"/>
    </row>
    <row r="77" spans="42:52" ht="54" customHeight="1" x14ac:dyDescent="0.2">
      <c r="AP77" s="10"/>
      <c r="AY77" s="10"/>
      <c r="AZ77" s="10"/>
    </row>
    <row r="78" spans="42:52" ht="54" customHeight="1" x14ac:dyDescent="0.2">
      <c r="AP78" s="10"/>
      <c r="AY78" s="10"/>
      <c r="AZ78" s="10"/>
    </row>
    <row r="79" spans="42:52" ht="54" customHeight="1" x14ac:dyDescent="0.2">
      <c r="AP79" s="10"/>
      <c r="AY79" s="10"/>
      <c r="AZ79" s="10"/>
    </row>
    <row r="80" spans="42:52" ht="54" customHeight="1" x14ac:dyDescent="0.2">
      <c r="AP80" s="10"/>
      <c r="AY80" s="10"/>
      <c r="AZ80" s="10"/>
    </row>
    <row r="81" spans="42:52" ht="54" customHeight="1" x14ac:dyDescent="0.2">
      <c r="AP81" s="10"/>
      <c r="AY81" s="10"/>
      <c r="AZ81" s="10"/>
    </row>
    <row r="82" spans="42:52" ht="54" customHeight="1" x14ac:dyDescent="0.2">
      <c r="AP82" s="10"/>
      <c r="AY82" s="10"/>
      <c r="AZ82" s="10"/>
    </row>
    <row r="83" spans="42:52" ht="54" customHeight="1" x14ac:dyDescent="0.2">
      <c r="AP83" s="10"/>
      <c r="AY83" s="10"/>
      <c r="AZ83" s="10"/>
    </row>
    <row r="84" spans="42:52" ht="54" customHeight="1" x14ac:dyDescent="0.2">
      <c r="AP84" s="10"/>
      <c r="AY84" s="10"/>
      <c r="AZ84" s="10"/>
    </row>
    <row r="85" spans="42:52" ht="54" customHeight="1" x14ac:dyDescent="0.2">
      <c r="AP85" s="10"/>
      <c r="AY85" s="10"/>
      <c r="AZ85" s="10"/>
    </row>
    <row r="86" spans="42:52" ht="54" customHeight="1" x14ac:dyDescent="0.2">
      <c r="AP86" s="10"/>
      <c r="AY86" s="10"/>
      <c r="AZ86" s="10"/>
    </row>
    <row r="87" spans="42:52" ht="54" customHeight="1" x14ac:dyDescent="0.2">
      <c r="AP87" s="10"/>
      <c r="AY87" s="10"/>
      <c r="AZ87" s="10"/>
    </row>
    <row r="88" spans="42:52" ht="54" customHeight="1" x14ac:dyDescent="0.2">
      <c r="AP88" s="10"/>
      <c r="AY88" s="10"/>
      <c r="AZ88" s="10"/>
    </row>
    <row r="89" spans="42:52" ht="54" customHeight="1" x14ac:dyDescent="0.2">
      <c r="AP89" s="10"/>
      <c r="AY89" s="10"/>
      <c r="AZ89" s="10"/>
    </row>
    <row r="90" spans="42:52" ht="54" customHeight="1" x14ac:dyDescent="0.2">
      <c r="AP90" s="10"/>
      <c r="AY90" s="10"/>
      <c r="AZ90" s="10"/>
    </row>
    <row r="91" spans="42:52" ht="54" customHeight="1" x14ac:dyDescent="0.2">
      <c r="AP91" s="10"/>
      <c r="AY91" s="10"/>
      <c r="AZ91" s="10"/>
    </row>
    <row r="92" spans="42:52" ht="54" customHeight="1" x14ac:dyDescent="0.2">
      <c r="AP92" s="10"/>
      <c r="AY92" s="10"/>
      <c r="AZ92" s="10"/>
    </row>
    <row r="93" spans="42:52" ht="54" customHeight="1" x14ac:dyDescent="0.2">
      <c r="AP93" s="10"/>
      <c r="AY93" s="10"/>
      <c r="AZ93" s="10"/>
    </row>
    <row r="94" spans="42:52" ht="54" customHeight="1" x14ac:dyDescent="0.2">
      <c r="AP94" s="10"/>
      <c r="AY94" s="10"/>
      <c r="AZ94" s="10"/>
    </row>
    <row r="95" spans="42:52" ht="54" customHeight="1" x14ac:dyDescent="0.2">
      <c r="AP95" s="10"/>
      <c r="AY95" s="10"/>
      <c r="AZ95" s="10"/>
    </row>
    <row r="96" spans="42:52" ht="54" customHeight="1" x14ac:dyDescent="0.2">
      <c r="AP96" s="10"/>
      <c r="AY96" s="10"/>
      <c r="AZ96" s="10"/>
    </row>
    <row r="97" spans="42:52" ht="54" customHeight="1" x14ac:dyDescent="0.2">
      <c r="AP97" s="10"/>
      <c r="AY97" s="10"/>
      <c r="AZ97" s="10"/>
    </row>
    <row r="98" spans="42:52" ht="54" customHeight="1" x14ac:dyDescent="0.2">
      <c r="AP98" s="10"/>
      <c r="AY98" s="10"/>
      <c r="AZ98" s="10"/>
    </row>
    <row r="99" spans="42:52" ht="54" customHeight="1" x14ac:dyDescent="0.2">
      <c r="AP99" s="10"/>
      <c r="AY99" s="10"/>
    </row>
    <row r="100" spans="42:52" ht="54" customHeight="1" x14ac:dyDescent="0.2">
      <c r="AP100" s="10"/>
      <c r="AZ100" s="5"/>
    </row>
    <row r="101" spans="42:52" ht="54" customHeight="1" x14ac:dyDescent="0.2">
      <c r="AP101" s="10"/>
      <c r="AY101" s="5"/>
      <c r="AZ101" s="10"/>
    </row>
    <row r="102" spans="42:52" ht="54" customHeight="1" x14ac:dyDescent="0.2">
      <c r="AY102" s="10"/>
      <c r="AZ102" s="10"/>
    </row>
    <row r="103" spans="42:52" ht="54" customHeight="1" x14ac:dyDescent="0.2">
      <c r="AP103" s="5"/>
      <c r="AY103" s="10"/>
      <c r="AZ103" s="10"/>
    </row>
    <row r="104" spans="42:52" ht="54" customHeight="1" x14ac:dyDescent="0.2">
      <c r="AP104" s="10"/>
      <c r="AY104" s="10"/>
      <c r="AZ104" s="10"/>
    </row>
    <row r="105" spans="42:52" ht="54" customHeight="1" x14ac:dyDescent="0.2">
      <c r="AP105" s="10"/>
      <c r="AY105" s="10"/>
      <c r="AZ105" s="10"/>
    </row>
    <row r="106" spans="42:52" ht="54" customHeight="1" x14ac:dyDescent="0.2">
      <c r="AP106" s="10"/>
      <c r="AY106" s="10"/>
      <c r="AZ106" s="10"/>
    </row>
    <row r="107" spans="42:52" ht="54" customHeight="1" x14ac:dyDescent="0.2">
      <c r="AP107" s="10"/>
      <c r="AY107" s="10"/>
      <c r="AZ107" s="10"/>
    </row>
    <row r="108" spans="42:52" ht="54" customHeight="1" x14ac:dyDescent="0.2">
      <c r="AP108" s="10"/>
      <c r="AY108" s="10"/>
      <c r="AZ108" s="10"/>
    </row>
    <row r="109" spans="42:52" ht="54" customHeight="1" x14ac:dyDescent="0.2">
      <c r="AP109" s="10"/>
      <c r="AY109" s="10"/>
      <c r="AZ109" s="10"/>
    </row>
    <row r="110" spans="42:52" ht="54" customHeight="1" x14ac:dyDescent="0.2">
      <c r="AP110" s="10"/>
      <c r="AY110" s="10"/>
      <c r="AZ110" s="10"/>
    </row>
    <row r="111" spans="42:52" ht="54" customHeight="1" x14ac:dyDescent="0.2">
      <c r="AP111" s="10"/>
      <c r="AY111" s="10"/>
      <c r="AZ111" s="10"/>
    </row>
    <row r="112" spans="42:52" ht="54" customHeight="1" x14ac:dyDescent="0.2">
      <c r="AP112" s="10"/>
      <c r="AY112" s="10"/>
    </row>
    <row r="113" spans="42:52" ht="54" customHeight="1" x14ac:dyDescent="0.2">
      <c r="AP113" s="10"/>
      <c r="AZ113" s="5"/>
    </row>
    <row r="114" spans="42:52" ht="54" customHeight="1" x14ac:dyDescent="0.2">
      <c r="AP114" s="10"/>
      <c r="AY114" s="5"/>
      <c r="AZ114" s="10"/>
    </row>
    <row r="115" spans="42:52" ht="54" customHeight="1" x14ac:dyDescent="0.2">
      <c r="AY115" s="10"/>
      <c r="AZ115" s="10"/>
    </row>
    <row r="116" spans="42:52" ht="54" customHeight="1" x14ac:dyDescent="0.2">
      <c r="AP116" s="5"/>
      <c r="AY116" s="10"/>
      <c r="AZ116" s="10"/>
    </row>
    <row r="117" spans="42:52" ht="54" customHeight="1" x14ac:dyDescent="0.2">
      <c r="AP117" s="10"/>
      <c r="AY117" s="10"/>
      <c r="AZ117" s="10"/>
    </row>
    <row r="118" spans="42:52" ht="54" customHeight="1" x14ac:dyDescent="0.2">
      <c r="AP118" s="10"/>
      <c r="AY118" s="10"/>
      <c r="AZ118" s="10"/>
    </row>
    <row r="119" spans="42:52" ht="54" customHeight="1" x14ac:dyDescent="0.2">
      <c r="AP119" s="10"/>
      <c r="AY119" s="10"/>
      <c r="AZ119" s="10"/>
    </row>
    <row r="120" spans="42:52" ht="54" customHeight="1" x14ac:dyDescent="0.2">
      <c r="AP120" s="10"/>
      <c r="AY120" s="10"/>
      <c r="AZ120" s="10"/>
    </row>
    <row r="121" spans="42:52" ht="54" customHeight="1" x14ac:dyDescent="0.2">
      <c r="AP121" s="10"/>
      <c r="AY121" s="10"/>
      <c r="AZ121" s="10"/>
    </row>
    <row r="122" spans="42:52" ht="54" customHeight="1" x14ac:dyDescent="0.2">
      <c r="AP122" s="10"/>
      <c r="AY122" s="10"/>
      <c r="AZ122" s="10"/>
    </row>
    <row r="123" spans="42:52" ht="54" customHeight="1" x14ac:dyDescent="0.2">
      <c r="AP123" s="10"/>
      <c r="AY123" s="10"/>
      <c r="AZ123" s="10"/>
    </row>
    <row r="124" spans="42:52" ht="54" customHeight="1" x14ac:dyDescent="0.2">
      <c r="AP124" s="10"/>
      <c r="AY124" s="10"/>
      <c r="AZ124" s="10"/>
    </row>
    <row r="125" spans="42:52" ht="54" customHeight="1" x14ac:dyDescent="0.2">
      <c r="AP125" s="10"/>
      <c r="AY125" s="10"/>
      <c r="AZ125" s="10"/>
    </row>
    <row r="126" spans="42:52" ht="54" customHeight="1" x14ac:dyDescent="0.2">
      <c r="AP126" s="10"/>
      <c r="AY126" s="10"/>
      <c r="AZ126" s="10"/>
    </row>
    <row r="127" spans="42:52" ht="54" customHeight="1" x14ac:dyDescent="0.2">
      <c r="AP127" s="10"/>
      <c r="AY127" s="10"/>
      <c r="AZ127" s="10"/>
    </row>
    <row r="128" spans="42:52" ht="54" customHeight="1" x14ac:dyDescent="0.2">
      <c r="AP128" s="10"/>
      <c r="AY128" s="10"/>
      <c r="AZ128" s="10"/>
    </row>
    <row r="129" spans="42:52" ht="54" customHeight="1" x14ac:dyDescent="0.2">
      <c r="AP129" s="10"/>
      <c r="AY129" s="10"/>
      <c r="AZ129" s="10"/>
    </row>
    <row r="130" spans="42:52" ht="54" customHeight="1" x14ac:dyDescent="0.2">
      <c r="AP130" s="10"/>
      <c r="AY130" s="10"/>
      <c r="AZ130" s="10"/>
    </row>
    <row r="131" spans="42:52" ht="54" customHeight="1" x14ac:dyDescent="0.2">
      <c r="AP131" s="10"/>
      <c r="AY131" s="10"/>
      <c r="AZ131" s="10"/>
    </row>
    <row r="132" spans="42:52" ht="54" customHeight="1" x14ac:dyDescent="0.2">
      <c r="AP132" s="10"/>
      <c r="AY132" s="10"/>
      <c r="AZ132" s="10"/>
    </row>
    <row r="133" spans="42:52" ht="54" customHeight="1" x14ac:dyDescent="0.2">
      <c r="AP133" s="10"/>
      <c r="AY133" s="10"/>
      <c r="AZ133" s="10"/>
    </row>
    <row r="134" spans="42:52" ht="54" customHeight="1" x14ac:dyDescent="0.2">
      <c r="AP134" s="10"/>
      <c r="AY134" s="10"/>
      <c r="AZ134" s="10"/>
    </row>
    <row r="135" spans="42:52" ht="54" customHeight="1" x14ac:dyDescent="0.2">
      <c r="AP135" s="10"/>
      <c r="AY135" s="10"/>
      <c r="AZ135" s="10"/>
    </row>
    <row r="136" spans="42:52" ht="54" customHeight="1" x14ac:dyDescent="0.2">
      <c r="AP136" s="10"/>
      <c r="AY136" s="10"/>
      <c r="AZ136" s="10"/>
    </row>
    <row r="137" spans="42:52" ht="54" customHeight="1" x14ac:dyDescent="0.2">
      <c r="AP137" s="10"/>
      <c r="AY137" s="10"/>
      <c r="AZ137" s="10"/>
    </row>
    <row r="138" spans="42:52" ht="54" customHeight="1" x14ac:dyDescent="0.2">
      <c r="AP138" s="10"/>
      <c r="AY138" s="10"/>
      <c r="AZ138" s="10"/>
    </row>
    <row r="139" spans="42:52" ht="54" customHeight="1" x14ac:dyDescent="0.2">
      <c r="AP139" s="10"/>
      <c r="AY139" s="10"/>
      <c r="AZ139" s="10"/>
    </row>
    <row r="140" spans="42:52" ht="54" customHeight="1" x14ac:dyDescent="0.2">
      <c r="AP140" s="10"/>
      <c r="AY140" s="10"/>
      <c r="AZ140" s="10"/>
    </row>
    <row r="141" spans="42:52" ht="54" customHeight="1" x14ac:dyDescent="0.2">
      <c r="AP141" s="10"/>
      <c r="AY141" s="10"/>
      <c r="AZ141" s="10"/>
    </row>
    <row r="142" spans="42:52" ht="54" customHeight="1" x14ac:dyDescent="0.2">
      <c r="AP142" s="10"/>
      <c r="AY142" s="10"/>
      <c r="AZ142" s="10"/>
    </row>
    <row r="143" spans="42:52" ht="54" customHeight="1" x14ac:dyDescent="0.2">
      <c r="AP143" s="10"/>
      <c r="AY143" s="10"/>
      <c r="AZ143" s="10"/>
    </row>
    <row r="144" spans="42:52" ht="54" customHeight="1" x14ac:dyDescent="0.2">
      <c r="AP144" s="10"/>
      <c r="AY144" s="10"/>
      <c r="AZ144" s="10"/>
    </row>
    <row r="145" spans="42:52" ht="54" customHeight="1" x14ac:dyDescent="0.2">
      <c r="AP145" s="10"/>
      <c r="AY145" s="10"/>
      <c r="AZ145" s="10"/>
    </row>
    <row r="146" spans="42:52" ht="54" customHeight="1" x14ac:dyDescent="0.2">
      <c r="AP146" s="10"/>
      <c r="AY146" s="10"/>
      <c r="AZ146" s="10"/>
    </row>
    <row r="147" spans="42:52" ht="54" customHeight="1" x14ac:dyDescent="0.2">
      <c r="AP147" s="10"/>
      <c r="AY147" s="10"/>
      <c r="AZ147" s="10"/>
    </row>
    <row r="148" spans="42:52" ht="54" customHeight="1" x14ac:dyDescent="0.2">
      <c r="AP148" s="10"/>
      <c r="AY148" s="10"/>
      <c r="AZ148" s="10"/>
    </row>
    <row r="149" spans="42:52" ht="54" customHeight="1" x14ac:dyDescent="0.2">
      <c r="AP149" s="10"/>
      <c r="AY149" s="10"/>
      <c r="AZ149" s="10"/>
    </row>
    <row r="150" spans="42:52" ht="54" customHeight="1" x14ac:dyDescent="0.2">
      <c r="AP150" s="10"/>
      <c r="AY150" s="10"/>
    </row>
    <row r="151" spans="42:52" ht="54" customHeight="1" x14ac:dyDescent="0.2">
      <c r="AP151" s="10"/>
      <c r="AZ151" s="5"/>
    </row>
    <row r="152" spans="42:52" ht="54" customHeight="1" x14ac:dyDescent="0.2">
      <c r="AP152" s="10"/>
      <c r="AY152" s="5"/>
      <c r="AZ152" s="10"/>
    </row>
    <row r="153" spans="42:52" ht="54" customHeight="1" x14ac:dyDescent="0.2">
      <c r="AY153" s="10"/>
      <c r="AZ153" s="10"/>
    </row>
    <row r="154" spans="42:52" ht="54" customHeight="1" x14ac:dyDescent="0.2">
      <c r="AP154" s="5"/>
      <c r="AY154" s="10"/>
      <c r="AZ154" s="10"/>
    </row>
    <row r="155" spans="42:52" ht="54" customHeight="1" x14ac:dyDescent="0.2">
      <c r="AP155" s="10"/>
      <c r="AY155" s="10"/>
      <c r="AZ155" s="10"/>
    </row>
    <row r="156" spans="42:52" ht="54" customHeight="1" x14ac:dyDescent="0.2">
      <c r="AP156" s="10"/>
      <c r="AY156" s="10"/>
      <c r="AZ156" s="10"/>
    </row>
    <row r="157" spans="42:52" ht="54" customHeight="1" x14ac:dyDescent="0.2">
      <c r="AP157" s="10"/>
      <c r="AY157" s="10"/>
      <c r="AZ157" s="10"/>
    </row>
    <row r="158" spans="42:52" ht="54" customHeight="1" x14ac:dyDescent="0.2">
      <c r="AP158" s="10"/>
      <c r="AY158" s="10"/>
      <c r="AZ158" s="10"/>
    </row>
    <row r="159" spans="42:52" ht="54" customHeight="1" x14ac:dyDescent="0.2">
      <c r="AP159" s="10"/>
      <c r="AY159" s="10"/>
      <c r="AZ159" s="10"/>
    </row>
    <row r="160" spans="42:52" ht="54" customHeight="1" x14ac:dyDescent="0.2">
      <c r="AP160" s="10"/>
      <c r="AY160" s="10"/>
      <c r="AZ160" s="10"/>
    </row>
    <row r="161" spans="42:52" ht="54" customHeight="1" x14ac:dyDescent="0.2">
      <c r="AP161" s="10"/>
      <c r="AY161" s="10"/>
    </row>
    <row r="162" spans="42:52" ht="54" customHeight="1" x14ac:dyDescent="0.2">
      <c r="AP162" s="10"/>
      <c r="AZ162" s="5"/>
    </row>
    <row r="163" spans="42:52" ht="54" customHeight="1" x14ac:dyDescent="0.2">
      <c r="AP163" s="10"/>
      <c r="AY163" s="5"/>
      <c r="AZ163" s="10"/>
    </row>
    <row r="164" spans="42:52" ht="54" customHeight="1" x14ac:dyDescent="0.2">
      <c r="AY164" s="10"/>
      <c r="AZ164" s="10"/>
    </row>
    <row r="165" spans="42:52" ht="54" customHeight="1" x14ac:dyDescent="0.2">
      <c r="AP165" s="5"/>
      <c r="AY165" s="10"/>
      <c r="AZ165" s="10"/>
    </row>
    <row r="166" spans="42:52" ht="54" customHeight="1" x14ac:dyDescent="0.2">
      <c r="AP166" s="10"/>
      <c r="AY166" s="10"/>
      <c r="AZ166" s="10"/>
    </row>
    <row r="167" spans="42:52" ht="54" customHeight="1" x14ac:dyDescent="0.2">
      <c r="AP167" s="10"/>
      <c r="AY167" s="10"/>
      <c r="AZ167" s="10"/>
    </row>
    <row r="168" spans="42:52" ht="54" customHeight="1" x14ac:dyDescent="0.2">
      <c r="AP168" s="10"/>
      <c r="AY168" s="10"/>
      <c r="AZ168" s="10"/>
    </row>
    <row r="169" spans="42:52" ht="54" customHeight="1" x14ac:dyDescent="0.2">
      <c r="AP169" s="10"/>
      <c r="AY169" s="10"/>
      <c r="AZ169" s="10"/>
    </row>
    <row r="170" spans="42:52" ht="54" customHeight="1" x14ac:dyDescent="0.2">
      <c r="AP170" s="10"/>
      <c r="AY170" s="10"/>
      <c r="AZ170" s="10"/>
    </row>
    <row r="171" spans="42:52" ht="54" customHeight="1" x14ac:dyDescent="0.2">
      <c r="AP171" s="10"/>
      <c r="AY171" s="10"/>
    </row>
    <row r="172" spans="42:52" ht="54" customHeight="1" x14ac:dyDescent="0.2">
      <c r="AP172" s="10"/>
      <c r="AZ172" s="5"/>
    </row>
    <row r="173" spans="42:52" ht="54" customHeight="1" x14ac:dyDescent="0.2">
      <c r="AP173" s="10"/>
      <c r="AY173" s="5"/>
      <c r="AZ173" s="10"/>
    </row>
    <row r="174" spans="42:52" ht="54" customHeight="1" x14ac:dyDescent="0.2">
      <c r="AY174" s="10"/>
      <c r="AZ174" s="10"/>
    </row>
    <row r="175" spans="42:52" ht="54" customHeight="1" x14ac:dyDescent="0.2">
      <c r="AP175" s="5"/>
      <c r="AY175" s="10"/>
      <c r="AZ175" s="10"/>
    </row>
    <row r="176" spans="42:52" ht="54" customHeight="1" x14ac:dyDescent="0.2">
      <c r="AP176" s="10"/>
      <c r="AY176" s="10"/>
      <c r="AZ176" s="10"/>
    </row>
    <row r="177" spans="42:52" ht="54" customHeight="1" x14ac:dyDescent="0.2">
      <c r="AP177" s="10"/>
      <c r="AY177" s="10"/>
      <c r="AZ177" s="10"/>
    </row>
    <row r="178" spans="42:52" ht="54" customHeight="1" x14ac:dyDescent="0.2">
      <c r="AP178" s="10"/>
      <c r="AY178" s="10"/>
      <c r="AZ178" s="10"/>
    </row>
    <row r="179" spans="42:52" ht="54" customHeight="1" x14ac:dyDescent="0.2">
      <c r="AP179" s="10"/>
      <c r="AY179" s="10"/>
    </row>
    <row r="180" spans="42:52" ht="54" customHeight="1" x14ac:dyDescent="0.2">
      <c r="AP180" s="10"/>
      <c r="AZ180" s="5"/>
    </row>
    <row r="181" spans="42:52" ht="54" customHeight="1" x14ac:dyDescent="0.2">
      <c r="AP181" s="10"/>
      <c r="AY181" s="5"/>
      <c r="AZ181" s="10"/>
    </row>
    <row r="182" spans="42:52" ht="54" customHeight="1" x14ac:dyDescent="0.2">
      <c r="AY182" s="10"/>
      <c r="AZ182" s="10"/>
    </row>
    <row r="183" spans="42:52" ht="54" customHeight="1" x14ac:dyDescent="0.2">
      <c r="AP183" s="5"/>
      <c r="AY183" s="10"/>
      <c r="AZ183" s="10"/>
    </row>
    <row r="184" spans="42:52" ht="54" customHeight="1" x14ac:dyDescent="0.2">
      <c r="AP184" s="10"/>
      <c r="AY184" s="10"/>
      <c r="AZ184" s="10"/>
    </row>
    <row r="185" spans="42:52" ht="54" customHeight="1" x14ac:dyDescent="0.2">
      <c r="AP185" s="10"/>
      <c r="AY185" s="10"/>
      <c r="AZ185" s="10"/>
    </row>
    <row r="186" spans="42:52" ht="54" customHeight="1" x14ac:dyDescent="0.2">
      <c r="AP186" s="10"/>
      <c r="AY186" s="10"/>
      <c r="AZ186" s="10"/>
    </row>
    <row r="187" spans="42:52" ht="54" customHeight="1" x14ac:dyDescent="0.2">
      <c r="AP187" s="10"/>
      <c r="AY187" s="10"/>
      <c r="AZ187" s="10"/>
    </row>
    <row r="188" spans="42:52" ht="54" customHeight="1" x14ac:dyDescent="0.2">
      <c r="AP188" s="10"/>
      <c r="AY188" s="10"/>
      <c r="AZ188" s="10"/>
    </row>
    <row r="189" spans="42:52" ht="54" customHeight="1" x14ac:dyDescent="0.2">
      <c r="AP189" s="10"/>
      <c r="AY189" s="10"/>
      <c r="AZ189" s="10"/>
    </row>
    <row r="190" spans="42:52" ht="54" customHeight="1" x14ac:dyDescent="0.2">
      <c r="AP190" s="10"/>
      <c r="AY190" s="10"/>
      <c r="AZ190" s="10"/>
    </row>
    <row r="191" spans="42:52" ht="54" customHeight="1" x14ac:dyDescent="0.2">
      <c r="AP191" s="10"/>
      <c r="AY191" s="10"/>
      <c r="AZ191" s="10"/>
    </row>
    <row r="192" spans="42:52" ht="54" customHeight="1" x14ac:dyDescent="0.2">
      <c r="AP192" s="10"/>
      <c r="AY192" s="10"/>
      <c r="AZ192" s="10"/>
    </row>
    <row r="193" spans="42:52" ht="54" customHeight="1" x14ac:dyDescent="0.2">
      <c r="AP193" s="10"/>
      <c r="AY193" s="10"/>
      <c r="AZ193" s="10"/>
    </row>
    <row r="194" spans="42:52" ht="54" customHeight="1" x14ac:dyDescent="0.2">
      <c r="AP194" s="10"/>
      <c r="AY194" s="10"/>
      <c r="AZ194" s="10"/>
    </row>
    <row r="195" spans="42:52" ht="54" customHeight="1" x14ac:dyDescent="0.2">
      <c r="AP195" s="10"/>
      <c r="AY195" s="10"/>
      <c r="AZ195" s="10"/>
    </row>
    <row r="196" spans="42:52" ht="54" customHeight="1" x14ac:dyDescent="0.2">
      <c r="AP196" s="10"/>
      <c r="AY196" s="10"/>
      <c r="AZ196" s="10"/>
    </row>
    <row r="197" spans="42:52" ht="54" customHeight="1" x14ac:dyDescent="0.2">
      <c r="AP197" s="10"/>
      <c r="AY197" s="10"/>
      <c r="AZ197" s="10"/>
    </row>
    <row r="198" spans="42:52" ht="54" customHeight="1" x14ac:dyDescent="0.2">
      <c r="AP198" s="10"/>
      <c r="AY198" s="10"/>
      <c r="AZ198" s="10"/>
    </row>
    <row r="199" spans="42:52" ht="54" customHeight="1" x14ac:dyDescent="0.2">
      <c r="AP199" s="10"/>
      <c r="AY199" s="10"/>
      <c r="AZ199" s="10"/>
    </row>
    <row r="200" spans="42:52" ht="54" customHeight="1" x14ac:dyDescent="0.2">
      <c r="AP200" s="10"/>
      <c r="AY200" s="10"/>
    </row>
    <row r="201" spans="42:52" ht="54" customHeight="1" x14ac:dyDescent="0.2">
      <c r="AP201" s="10"/>
      <c r="AZ201" s="5"/>
    </row>
    <row r="202" spans="42:52" ht="54" customHeight="1" x14ac:dyDescent="0.2">
      <c r="AP202" s="10"/>
      <c r="AY202" s="5"/>
      <c r="AZ202" s="10"/>
    </row>
    <row r="203" spans="42:52" ht="54" customHeight="1" x14ac:dyDescent="0.2">
      <c r="AY203" s="10"/>
      <c r="AZ203" s="10"/>
    </row>
    <row r="204" spans="42:52" ht="54" customHeight="1" x14ac:dyDescent="0.2">
      <c r="AP204" s="5"/>
      <c r="AY204" s="10"/>
      <c r="AZ204" s="10"/>
    </row>
    <row r="205" spans="42:52" ht="54" customHeight="1" x14ac:dyDescent="0.2">
      <c r="AP205" s="10"/>
      <c r="AY205" s="10"/>
      <c r="AZ205" s="10"/>
    </row>
    <row r="206" spans="42:52" ht="54" customHeight="1" x14ac:dyDescent="0.2">
      <c r="AP206" s="10"/>
      <c r="AY206" s="10"/>
      <c r="AZ206" s="10"/>
    </row>
    <row r="207" spans="42:52" ht="54" customHeight="1" x14ac:dyDescent="0.2">
      <c r="AP207" s="10"/>
      <c r="AY207" s="10"/>
      <c r="AZ207" s="10"/>
    </row>
    <row r="208" spans="42:52" ht="54" customHeight="1" x14ac:dyDescent="0.2">
      <c r="AP208" s="10"/>
      <c r="AY208" s="10"/>
      <c r="AZ208" s="10"/>
    </row>
    <row r="209" spans="42:52" ht="54" customHeight="1" x14ac:dyDescent="0.2">
      <c r="AP209" s="10"/>
      <c r="AY209" s="10"/>
      <c r="AZ209" s="10"/>
    </row>
    <row r="210" spans="42:52" ht="54" customHeight="1" x14ac:dyDescent="0.2">
      <c r="AP210" s="10"/>
      <c r="AY210" s="10"/>
      <c r="AZ210" s="10"/>
    </row>
    <row r="211" spans="42:52" ht="54" customHeight="1" x14ac:dyDescent="0.2">
      <c r="AP211" s="10"/>
      <c r="AY211" s="10"/>
    </row>
    <row r="212" spans="42:52" ht="54" customHeight="1" x14ac:dyDescent="0.2">
      <c r="AP212" s="10"/>
      <c r="AZ212" s="5"/>
    </row>
    <row r="213" spans="42:52" ht="54" customHeight="1" x14ac:dyDescent="0.2">
      <c r="AP213" s="10"/>
      <c r="AY213" s="5"/>
      <c r="AZ213" s="10"/>
    </row>
    <row r="214" spans="42:52" ht="54" customHeight="1" x14ac:dyDescent="0.2">
      <c r="AY214" s="10"/>
      <c r="AZ214" s="10"/>
    </row>
    <row r="215" spans="42:52" ht="54" customHeight="1" x14ac:dyDescent="0.2">
      <c r="AP215" s="5"/>
      <c r="AY215" s="10"/>
      <c r="AZ215" s="10"/>
    </row>
    <row r="216" spans="42:52" ht="54" customHeight="1" x14ac:dyDescent="0.2">
      <c r="AP216" s="10"/>
      <c r="AY216" s="10"/>
      <c r="AZ216" s="10"/>
    </row>
    <row r="217" spans="42:52" ht="54" customHeight="1" x14ac:dyDescent="0.2">
      <c r="AP217" s="10"/>
      <c r="AY217" s="10"/>
      <c r="AZ217" s="10"/>
    </row>
    <row r="218" spans="42:52" ht="54" customHeight="1" x14ac:dyDescent="0.2">
      <c r="AP218" s="10"/>
      <c r="AY218" s="10"/>
      <c r="AZ218" s="10"/>
    </row>
    <row r="219" spans="42:52" ht="54" customHeight="1" x14ac:dyDescent="0.2">
      <c r="AP219" s="10"/>
      <c r="AY219" s="10"/>
      <c r="AZ219" s="10"/>
    </row>
    <row r="220" spans="42:52" ht="54" customHeight="1" x14ac:dyDescent="0.2">
      <c r="AP220" s="10"/>
      <c r="AY220" s="10"/>
      <c r="AZ220" s="10"/>
    </row>
    <row r="221" spans="42:52" ht="54" customHeight="1" x14ac:dyDescent="0.2">
      <c r="AP221" s="10"/>
      <c r="AY221" s="10"/>
      <c r="AZ221" s="10"/>
    </row>
    <row r="222" spans="42:52" ht="54" customHeight="1" x14ac:dyDescent="0.2">
      <c r="AP222" s="10"/>
      <c r="AY222" s="10"/>
      <c r="AZ222" s="10"/>
    </row>
    <row r="223" spans="42:52" ht="54" customHeight="1" x14ac:dyDescent="0.2">
      <c r="AP223" s="10"/>
      <c r="AY223" s="10"/>
      <c r="AZ223" s="10"/>
    </row>
    <row r="224" spans="42:52" ht="54" customHeight="1" x14ac:dyDescent="0.2">
      <c r="AP224" s="10"/>
      <c r="AY224" s="10"/>
      <c r="AZ224" s="10"/>
    </row>
    <row r="225" spans="42:52" ht="54" customHeight="1" x14ac:dyDescent="0.2">
      <c r="AP225" s="10"/>
      <c r="AY225" s="10"/>
      <c r="AZ225" s="10"/>
    </row>
    <row r="226" spans="42:52" ht="54" customHeight="1" x14ac:dyDescent="0.2">
      <c r="AP226" s="10"/>
      <c r="AY226" s="10"/>
      <c r="AZ226" s="10"/>
    </row>
    <row r="227" spans="42:52" ht="54" customHeight="1" x14ac:dyDescent="0.2">
      <c r="AP227" s="10"/>
      <c r="AY227" s="10"/>
      <c r="AZ227" s="10"/>
    </row>
    <row r="228" spans="42:52" ht="54" customHeight="1" x14ac:dyDescent="0.2">
      <c r="AP228" s="10"/>
      <c r="AY228" s="10"/>
    </row>
    <row r="229" spans="42:52" ht="54" customHeight="1" x14ac:dyDescent="0.2">
      <c r="AP229" s="10"/>
    </row>
  </sheetData>
  <conditionalFormatting sqref="T6:T61">
    <cfRule type="expression" dxfId="15" priority="1">
      <formula>T6="Return"</formula>
    </cfRule>
    <cfRule type="expression" dxfId="14" priority="2">
      <formula>T6="Discard"</formula>
    </cfRule>
    <cfRule type="expression" dxfId="13" priority="3">
      <formula>T6="In Use"</formula>
    </cfRule>
    <cfRule type="expression" dxfId="12" priority="4">
      <formula>T6="Ordered"</formula>
    </cfRule>
    <cfRule type="expression" dxfId="11" priority="5">
      <formula>T6="Delayed"</formula>
    </cfRule>
    <cfRule type="expression" dxfId="10" priority="6">
      <formula>T6="Quarantine"</formula>
    </cfRule>
    <cfRule type="expression" dxfId="9" priority="7">
      <formula>T6="Ready to Use"</formula>
    </cfRule>
    <cfRule type="expression" dxfId="8" priority="8">
      <formula>T6="EXPIRED!"</formula>
    </cfRule>
  </conditionalFormatting>
  <dataValidations count="4">
    <dataValidation type="list" allowBlank="1" showInputMessage="1" showErrorMessage="1" sqref="Q6:Q61" xr:uid="{6CF615F0-2892-47E5-807A-F01AD0A886E3}">
      <formula1>"In Use,Discard,Return"</formula1>
    </dataValidation>
    <dataValidation type="list" allowBlank="1" showInputMessage="1" showErrorMessage="1" sqref="B6:B61 P6:P61 S6:S61 H6:H61" xr:uid="{9EF79724-EB9F-4D59-A23F-32C4DAF1D7B4}">
      <formula1>"A.L,M.O,A.F,J.M,G.R,G.B"</formula1>
    </dataValidation>
    <dataValidation type="list" allowBlank="1" showInputMessage="1" showErrorMessage="1" sqref="N6:N61" xr:uid="{265615AE-6E27-4CE0-9427-2CE8004CEC4D}">
      <formula1>"Visual (required),COA,Revised packg insert,Non-Critical,QC/Validation/Qual."</formula1>
    </dataValidation>
    <dataValidation type="list" allowBlank="1" showInputMessage="1" showErrorMessage="1" sqref="U5" xr:uid="{A517ED1D-B2D5-4575-A90D-20CD9BEE4966}">
      <formula1>"Backorder,Shortage,Shipping Delay,Missing Order"</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lear_All_Workbook_Slicer_Filters">
                <anchor moveWithCells="1" sizeWithCells="1">
                  <from>
                    <xdr:col>19</xdr:col>
                    <xdr:colOff>304800</xdr:colOff>
                    <xdr:row>2</xdr:row>
                    <xdr:rowOff>127000</xdr:rowOff>
                  </from>
                  <to>
                    <xdr:col>20</xdr:col>
                    <xdr:colOff>635000</xdr:colOff>
                    <xdr:row>2</xdr:row>
                    <xdr:rowOff>457200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C0B0AF94-4669-461C-887A-FEAB36EF6E6E}">
          <x14:formula1>
            <xm:f>'Supplies &amp; manuf.'!$A$295:$A$351</xm:f>
          </x14:formula1>
          <xm:sqref>F6:F61</xm:sqref>
        </x14:dataValidation>
        <x14:dataValidation type="list" errorStyle="warning" allowBlank="1" showInputMessage="1" showErrorMessage="1" xr:uid="{1DEC0612-9287-47B3-B18E-5CA142E2A51F}">
          <x14:formula1>
            <xm:f>'Supplies &amp; manuf.'!$A$370:$A$383</xm:f>
          </x14:formula1>
          <xm:sqref>U6:U61</xm:sqref>
        </x14:dataValidation>
        <x14:dataValidation type="list" errorStyle="warning" allowBlank="1" showInputMessage="1" showErrorMessage="1" xr:uid="{FEF166C8-A5C5-4CDB-BE20-22D99C60BB4E}">
          <x14:formula1>
            <xm:f>'Supplies &amp; manuf.'!$A$2:$A$274</xm:f>
          </x14:formula1>
          <xm:sqref>E6:E61</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A352C-3D92-4063-825F-2A1EE006EE00}">
  <sheetPr codeName="Sheet1"/>
  <dimension ref="A1:R383"/>
  <sheetViews>
    <sheetView topLeftCell="A91" workbookViewId="0">
      <selection activeCell="B382" sqref="A382:XFD382"/>
    </sheetView>
  </sheetViews>
  <sheetFormatPr baseColWidth="10" defaultColWidth="8.83203125" defaultRowHeight="15" x14ac:dyDescent="0.2"/>
  <cols>
    <col min="1" max="1" width="47.5" bestFit="1" customWidth="1"/>
  </cols>
  <sheetData>
    <row r="1" spans="1:18" x14ac:dyDescent="0.2">
      <c r="A1" t="s">
        <v>27</v>
      </c>
    </row>
    <row r="2" spans="1:18" ht="16" x14ac:dyDescent="0.2">
      <c r="A2" s="10" t="s">
        <v>28</v>
      </c>
      <c r="R2" s="1"/>
    </row>
    <row r="3" spans="1:18" x14ac:dyDescent="0.2">
      <c r="A3" s="5"/>
      <c r="R3" s="1"/>
    </row>
    <row r="4" spans="1:18" ht="16" x14ac:dyDescent="0.2">
      <c r="A4" s="10" t="s">
        <v>29</v>
      </c>
      <c r="R4" s="10"/>
    </row>
    <row r="5" spans="1:18" ht="16" x14ac:dyDescent="0.2">
      <c r="A5" s="10" t="s">
        <v>30</v>
      </c>
      <c r="R5" s="10"/>
    </row>
    <row r="6" spans="1:18" ht="16" x14ac:dyDescent="0.2">
      <c r="A6" s="10" t="s">
        <v>31</v>
      </c>
      <c r="R6" s="10"/>
    </row>
    <row r="7" spans="1:18" ht="16" x14ac:dyDescent="0.2">
      <c r="A7" s="10" t="s">
        <v>32</v>
      </c>
      <c r="R7" s="10"/>
    </row>
    <row r="8" spans="1:18" ht="16" x14ac:dyDescent="0.2">
      <c r="A8" s="10" t="s">
        <v>33</v>
      </c>
      <c r="R8" s="10"/>
    </row>
    <row r="9" spans="1:18" ht="16" x14ac:dyDescent="0.2">
      <c r="A9" s="10" t="s">
        <v>34</v>
      </c>
      <c r="R9" s="10"/>
    </row>
    <row r="10" spans="1:18" ht="16" x14ac:dyDescent="0.2">
      <c r="A10" s="10" t="s">
        <v>35</v>
      </c>
      <c r="R10" s="10"/>
    </row>
    <row r="11" spans="1:18" ht="16" x14ac:dyDescent="0.2">
      <c r="A11" s="10" t="s">
        <v>36</v>
      </c>
      <c r="R11" s="10"/>
    </row>
    <row r="12" spans="1:18" ht="16" x14ac:dyDescent="0.2">
      <c r="A12" s="10"/>
      <c r="R12" s="10"/>
    </row>
    <row r="13" spans="1:18" ht="16" x14ac:dyDescent="0.2">
      <c r="A13" s="10"/>
      <c r="R13" s="10"/>
    </row>
    <row r="14" spans="1:18" ht="16" x14ac:dyDescent="0.2">
      <c r="A14" s="5"/>
      <c r="R14" s="10"/>
    </row>
    <row r="15" spans="1:18" ht="16" x14ac:dyDescent="0.2">
      <c r="A15" s="5"/>
      <c r="R15" s="10"/>
    </row>
    <row r="16" spans="1:18" ht="16" x14ac:dyDescent="0.2">
      <c r="A16" s="10" t="s">
        <v>37</v>
      </c>
      <c r="R16" s="10"/>
    </row>
    <row r="17" spans="1:18" ht="16" x14ac:dyDescent="0.2">
      <c r="A17" s="10" t="s">
        <v>38</v>
      </c>
      <c r="R17" s="10"/>
    </row>
    <row r="18" spans="1:18" ht="16" x14ac:dyDescent="0.2">
      <c r="A18" s="10" t="s">
        <v>39</v>
      </c>
      <c r="R18" s="10"/>
    </row>
    <row r="19" spans="1:18" ht="16" x14ac:dyDescent="0.2">
      <c r="A19" s="10" t="s">
        <v>40</v>
      </c>
      <c r="R19" s="10"/>
    </row>
    <row r="20" spans="1:18" ht="16" x14ac:dyDescent="0.2">
      <c r="A20" s="10" t="s">
        <v>41</v>
      </c>
      <c r="R20" s="10"/>
    </row>
    <row r="21" spans="1:18" ht="16" x14ac:dyDescent="0.2">
      <c r="A21" s="10" t="s">
        <v>42</v>
      </c>
      <c r="R21" s="10"/>
    </row>
    <row r="22" spans="1:18" ht="16" x14ac:dyDescent="0.2">
      <c r="A22" s="10" t="s">
        <v>43</v>
      </c>
      <c r="R22" s="10"/>
    </row>
    <row r="23" spans="1:18" ht="16" x14ac:dyDescent="0.2">
      <c r="A23" s="10" t="s">
        <v>44</v>
      </c>
      <c r="R23" s="10"/>
    </row>
    <row r="24" spans="1:18" ht="16" x14ac:dyDescent="0.2">
      <c r="A24" s="10" t="s">
        <v>45</v>
      </c>
      <c r="R24" s="10"/>
    </row>
    <row r="25" spans="1:18" ht="16" x14ac:dyDescent="0.2">
      <c r="A25" s="10" t="s">
        <v>46</v>
      </c>
      <c r="R25" s="10"/>
    </row>
    <row r="26" spans="1:18" ht="16" x14ac:dyDescent="0.2">
      <c r="A26" s="10"/>
      <c r="R26" s="10"/>
    </row>
    <row r="27" spans="1:18" ht="16" x14ac:dyDescent="0.2">
      <c r="A27" s="10" t="s">
        <v>47</v>
      </c>
      <c r="R27" s="10"/>
    </row>
    <row r="28" spans="1:18" ht="16" x14ac:dyDescent="0.2">
      <c r="A28" s="10" t="s">
        <v>48</v>
      </c>
      <c r="R28" s="10"/>
    </row>
    <row r="29" spans="1:18" ht="16" x14ac:dyDescent="0.2">
      <c r="A29" s="10" t="s">
        <v>49</v>
      </c>
      <c r="R29" s="10"/>
    </row>
    <row r="30" spans="1:18" ht="16" x14ac:dyDescent="0.2">
      <c r="A30" s="10" t="s">
        <v>50</v>
      </c>
      <c r="R30" s="10"/>
    </row>
    <row r="31" spans="1:18" ht="16" x14ac:dyDescent="0.2">
      <c r="A31" s="10" t="s">
        <v>51</v>
      </c>
      <c r="R31" s="10"/>
    </row>
    <row r="32" spans="1:18" ht="16" x14ac:dyDescent="0.2">
      <c r="A32" s="10" t="s">
        <v>52</v>
      </c>
      <c r="R32" s="10"/>
    </row>
    <row r="33" spans="1:18" ht="16" x14ac:dyDescent="0.2">
      <c r="A33" s="10" t="s">
        <v>53</v>
      </c>
      <c r="R33" s="10"/>
    </row>
    <row r="34" spans="1:18" ht="16" x14ac:dyDescent="0.2">
      <c r="A34" s="10" t="s">
        <v>54</v>
      </c>
    </row>
    <row r="36" spans="1:18" x14ac:dyDescent="0.2">
      <c r="A36" s="5"/>
    </row>
    <row r="37" spans="1:18" ht="16" x14ac:dyDescent="0.2">
      <c r="A37" s="10" t="s">
        <v>55</v>
      </c>
    </row>
    <row r="38" spans="1:18" ht="16" x14ac:dyDescent="0.2">
      <c r="A38" s="10" t="s">
        <v>56</v>
      </c>
    </row>
    <row r="39" spans="1:18" ht="16" x14ac:dyDescent="0.2">
      <c r="A39" s="10" t="s">
        <v>57</v>
      </c>
    </row>
    <row r="40" spans="1:18" ht="16" x14ac:dyDescent="0.2">
      <c r="A40" s="10" t="s">
        <v>58</v>
      </c>
    </row>
    <row r="41" spans="1:18" ht="16" x14ac:dyDescent="0.2">
      <c r="A41" s="10" t="s">
        <v>59</v>
      </c>
    </row>
    <row r="42" spans="1:18" ht="16" x14ac:dyDescent="0.2">
      <c r="A42" s="10" t="s">
        <v>60</v>
      </c>
    </row>
    <row r="43" spans="1:18" ht="16" x14ac:dyDescent="0.2">
      <c r="A43" s="10" t="s">
        <v>61</v>
      </c>
    </row>
    <row r="44" spans="1:18" ht="16" x14ac:dyDescent="0.2">
      <c r="A44" s="10" t="s">
        <v>62</v>
      </c>
    </row>
    <row r="45" spans="1:18" ht="16" x14ac:dyDescent="0.2">
      <c r="A45" s="10" t="s">
        <v>63</v>
      </c>
    </row>
    <row r="46" spans="1:18" ht="16" x14ac:dyDescent="0.2">
      <c r="A46" s="10" t="s">
        <v>64</v>
      </c>
    </row>
    <row r="47" spans="1:18" ht="16" x14ac:dyDescent="0.2">
      <c r="A47" s="10" t="s">
        <v>65</v>
      </c>
    </row>
    <row r="48" spans="1:18" ht="16" x14ac:dyDescent="0.2">
      <c r="A48" s="10" t="s">
        <v>66</v>
      </c>
    </row>
    <row r="49" spans="1:1" ht="16" x14ac:dyDescent="0.2">
      <c r="A49" s="10" t="s">
        <v>67</v>
      </c>
    </row>
    <row r="50" spans="1:1" ht="16" x14ac:dyDescent="0.2">
      <c r="A50" s="10" t="s">
        <v>68</v>
      </c>
    </row>
    <row r="51" spans="1:1" ht="16" x14ac:dyDescent="0.2">
      <c r="A51" s="10" t="s">
        <v>69</v>
      </c>
    </row>
    <row r="52" spans="1:1" ht="16" x14ac:dyDescent="0.2">
      <c r="A52" s="10" t="s">
        <v>70</v>
      </c>
    </row>
    <row r="53" spans="1:1" ht="16" x14ac:dyDescent="0.2">
      <c r="A53" s="10" t="s">
        <v>71</v>
      </c>
    </row>
    <row r="54" spans="1:1" ht="16" x14ac:dyDescent="0.2">
      <c r="A54" s="10" t="s">
        <v>72</v>
      </c>
    </row>
    <row r="55" spans="1:1" ht="16" x14ac:dyDescent="0.2">
      <c r="A55" s="10" t="s">
        <v>73</v>
      </c>
    </row>
    <row r="56" spans="1:1" ht="16" x14ac:dyDescent="0.2">
      <c r="A56" s="10" t="s">
        <v>74</v>
      </c>
    </row>
    <row r="57" spans="1:1" ht="16" x14ac:dyDescent="0.2">
      <c r="A57" s="10" t="s">
        <v>75</v>
      </c>
    </row>
    <row r="58" spans="1:1" ht="16" x14ac:dyDescent="0.2">
      <c r="A58" s="10" t="s">
        <v>76</v>
      </c>
    </row>
    <row r="59" spans="1:1" ht="16" x14ac:dyDescent="0.2">
      <c r="A59" s="10" t="s">
        <v>77</v>
      </c>
    </row>
    <row r="60" spans="1:1" ht="16" x14ac:dyDescent="0.2">
      <c r="A60" s="10" t="s">
        <v>78</v>
      </c>
    </row>
    <row r="61" spans="1:1" ht="16" x14ac:dyDescent="0.2">
      <c r="A61" s="10" t="s">
        <v>79</v>
      </c>
    </row>
    <row r="62" spans="1:1" ht="16" x14ac:dyDescent="0.2">
      <c r="A62" s="10" t="s">
        <v>80</v>
      </c>
    </row>
    <row r="63" spans="1:1" ht="16" x14ac:dyDescent="0.2">
      <c r="A63" s="10" t="s">
        <v>81</v>
      </c>
    </row>
    <row r="64" spans="1:1" ht="16" x14ac:dyDescent="0.2">
      <c r="A64" s="10" t="s">
        <v>82</v>
      </c>
    </row>
    <row r="65" spans="1:1" ht="16" x14ac:dyDescent="0.2">
      <c r="A65" s="10" t="s">
        <v>83</v>
      </c>
    </row>
    <row r="66" spans="1:1" x14ac:dyDescent="0.2">
      <c r="A66" s="5"/>
    </row>
    <row r="67" spans="1:1" ht="16" x14ac:dyDescent="0.2">
      <c r="A67" s="10" t="s">
        <v>84</v>
      </c>
    </row>
    <row r="68" spans="1:1" ht="16" x14ac:dyDescent="0.2">
      <c r="A68" s="10" t="s">
        <v>85</v>
      </c>
    </row>
    <row r="69" spans="1:1" ht="16" x14ac:dyDescent="0.2">
      <c r="A69" s="10" t="s">
        <v>86</v>
      </c>
    </row>
    <row r="70" spans="1:1" ht="16" x14ac:dyDescent="0.2">
      <c r="A70" s="10" t="s">
        <v>87</v>
      </c>
    </row>
    <row r="71" spans="1:1" ht="16" x14ac:dyDescent="0.2">
      <c r="A71" s="10" t="s">
        <v>88</v>
      </c>
    </row>
    <row r="72" spans="1:1" ht="16" x14ac:dyDescent="0.2">
      <c r="A72" s="10" t="s">
        <v>89</v>
      </c>
    </row>
    <row r="73" spans="1:1" ht="16" x14ac:dyDescent="0.2">
      <c r="A73" s="10" t="s">
        <v>90</v>
      </c>
    </row>
    <row r="74" spans="1:1" x14ac:dyDescent="0.2">
      <c r="A74" s="5"/>
    </row>
    <row r="75" spans="1:1" ht="16" x14ac:dyDescent="0.2">
      <c r="A75" s="10" t="s">
        <v>91</v>
      </c>
    </row>
    <row r="76" spans="1:1" ht="16" x14ac:dyDescent="0.2">
      <c r="A76" s="10" t="s">
        <v>92</v>
      </c>
    </row>
    <row r="77" spans="1:1" ht="16" x14ac:dyDescent="0.2">
      <c r="A77" s="10" t="s">
        <v>93</v>
      </c>
    </row>
    <row r="78" spans="1:1" ht="16" x14ac:dyDescent="0.2">
      <c r="A78" s="10" t="s">
        <v>94</v>
      </c>
    </row>
    <row r="79" spans="1:1" ht="16" x14ac:dyDescent="0.2">
      <c r="A79" s="10" t="s">
        <v>95</v>
      </c>
    </row>
    <row r="80" spans="1:1" ht="16" x14ac:dyDescent="0.2">
      <c r="A80" s="10" t="s">
        <v>96</v>
      </c>
    </row>
    <row r="81" spans="1:1" ht="16" x14ac:dyDescent="0.2">
      <c r="A81" s="10" t="s">
        <v>97</v>
      </c>
    </row>
    <row r="82" spans="1:1" ht="16" x14ac:dyDescent="0.2">
      <c r="A82" s="10" t="s">
        <v>98</v>
      </c>
    </row>
    <row r="83" spans="1:1" ht="16" x14ac:dyDescent="0.2">
      <c r="A83" s="10" t="s">
        <v>99</v>
      </c>
    </row>
    <row r="84" spans="1:1" ht="16" x14ac:dyDescent="0.2">
      <c r="A84" s="10" t="s">
        <v>100</v>
      </c>
    </row>
    <row r="85" spans="1:1" ht="16" x14ac:dyDescent="0.2">
      <c r="A85" s="10" t="s">
        <v>101</v>
      </c>
    </row>
    <row r="86" spans="1:1" ht="16" x14ac:dyDescent="0.2">
      <c r="A86" s="10" t="s">
        <v>102</v>
      </c>
    </row>
    <row r="87" spans="1:1" ht="16" x14ac:dyDescent="0.2">
      <c r="A87" s="10" t="s">
        <v>103</v>
      </c>
    </row>
    <row r="88" spans="1:1" ht="16" x14ac:dyDescent="0.2">
      <c r="A88" s="10" t="s">
        <v>104</v>
      </c>
    </row>
    <row r="89" spans="1:1" ht="16" x14ac:dyDescent="0.2">
      <c r="A89" s="10" t="s">
        <v>105</v>
      </c>
    </row>
    <row r="90" spans="1:1" ht="16" x14ac:dyDescent="0.2">
      <c r="A90" s="10" t="s">
        <v>106</v>
      </c>
    </row>
    <row r="91" spans="1:1" ht="16" x14ac:dyDescent="0.2">
      <c r="A91" s="10" t="s">
        <v>107</v>
      </c>
    </row>
    <row r="92" spans="1:1" ht="16" x14ac:dyDescent="0.2">
      <c r="A92" s="10" t="s">
        <v>108</v>
      </c>
    </row>
    <row r="93" spans="1:1" ht="16" x14ac:dyDescent="0.2">
      <c r="A93" s="10" t="s">
        <v>109</v>
      </c>
    </row>
    <row r="94" spans="1:1" ht="16" x14ac:dyDescent="0.2">
      <c r="A94" s="10" t="s">
        <v>110</v>
      </c>
    </row>
    <row r="95" spans="1:1" ht="16" x14ac:dyDescent="0.2">
      <c r="A95" s="10"/>
    </row>
    <row r="96" spans="1:1" ht="16" x14ac:dyDescent="0.2">
      <c r="A96" s="10"/>
    </row>
    <row r="97" spans="1:1" ht="16" x14ac:dyDescent="0.2">
      <c r="A97" s="10" t="s">
        <v>111</v>
      </c>
    </row>
    <row r="98" spans="1:1" ht="16" x14ac:dyDescent="0.2">
      <c r="A98" s="10" t="s">
        <v>112</v>
      </c>
    </row>
    <row r="99" spans="1:1" ht="16" x14ac:dyDescent="0.2">
      <c r="A99" s="10" t="s">
        <v>113</v>
      </c>
    </row>
    <row r="100" spans="1:1" ht="16" x14ac:dyDescent="0.2">
      <c r="A100" s="10" t="s">
        <v>114</v>
      </c>
    </row>
    <row r="101" spans="1:1" x14ac:dyDescent="0.2">
      <c r="A101" s="5" t="s">
        <v>115</v>
      </c>
    </row>
    <row r="102" spans="1:1" x14ac:dyDescent="0.2">
      <c r="A102" s="5" t="s">
        <v>116</v>
      </c>
    </row>
    <row r="103" spans="1:1" x14ac:dyDescent="0.2">
      <c r="A103" s="5" t="s">
        <v>117</v>
      </c>
    </row>
    <row r="104" spans="1:1" x14ac:dyDescent="0.2">
      <c r="A104" s="5"/>
    </row>
    <row r="105" spans="1:1" ht="16" x14ac:dyDescent="0.2">
      <c r="A105" s="10" t="s">
        <v>118</v>
      </c>
    </row>
    <row r="106" spans="1:1" ht="16" x14ac:dyDescent="0.2">
      <c r="A106" s="10" t="s">
        <v>119</v>
      </c>
    </row>
    <row r="107" spans="1:1" ht="16" x14ac:dyDescent="0.2">
      <c r="A107" s="10" t="s">
        <v>120</v>
      </c>
    </row>
    <row r="108" spans="1:1" ht="16" x14ac:dyDescent="0.2">
      <c r="A108" s="10" t="s">
        <v>121</v>
      </c>
    </row>
    <row r="109" spans="1:1" ht="16" x14ac:dyDescent="0.2">
      <c r="A109" s="10" t="s">
        <v>122</v>
      </c>
    </row>
    <row r="110" spans="1:1" ht="16" x14ac:dyDescent="0.2">
      <c r="A110" s="10" t="s">
        <v>123</v>
      </c>
    </row>
    <row r="111" spans="1:1" ht="16" x14ac:dyDescent="0.2">
      <c r="A111" s="10" t="s">
        <v>124</v>
      </c>
    </row>
    <row r="112" spans="1:1" ht="16" x14ac:dyDescent="0.2">
      <c r="A112" s="10" t="s">
        <v>22</v>
      </c>
    </row>
    <row r="113" spans="1:1" ht="16" x14ac:dyDescent="0.2">
      <c r="A113" s="10" t="s">
        <v>125</v>
      </c>
    </row>
    <row r="114" spans="1:1" ht="16" x14ac:dyDescent="0.2">
      <c r="A114" s="10" t="s">
        <v>126</v>
      </c>
    </row>
    <row r="115" spans="1:1" ht="16" x14ac:dyDescent="0.2">
      <c r="A115" s="10" t="s">
        <v>127</v>
      </c>
    </row>
    <row r="116" spans="1:1" ht="16" x14ac:dyDescent="0.2">
      <c r="A116" s="10" t="s">
        <v>128</v>
      </c>
    </row>
    <row r="117" spans="1:1" ht="16" x14ac:dyDescent="0.2">
      <c r="A117" s="10" t="s">
        <v>129</v>
      </c>
    </row>
    <row r="118" spans="1:1" ht="16" x14ac:dyDescent="0.2">
      <c r="A118" s="10" t="s">
        <v>130</v>
      </c>
    </row>
    <row r="119" spans="1:1" ht="16" x14ac:dyDescent="0.2">
      <c r="A119" s="10" t="s">
        <v>131</v>
      </c>
    </row>
    <row r="120" spans="1:1" ht="16" x14ac:dyDescent="0.2">
      <c r="A120" s="10" t="s">
        <v>132</v>
      </c>
    </row>
    <row r="121" spans="1:1" ht="16" x14ac:dyDescent="0.2">
      <c r="A121" s="10" t="s">
        <v>133</v>
      </c>
    </row>
    <row r="122" spans="1:1" ht="16" x14ac:dyDescent="0.2">
      <c r="A122" s="10" t="s">
        <v>134</v>
      </c>
    </row>
    <row r="123" spans="1:1" ht="16" x14ac:dyDescent="0.2">
      <c r="A123" s="10" t="s">
        <v>135</v>
      </c>
    </row>
    <row r="124" spans="1:1" ht="16" x14ac:dyDescent="0.2">
      <c r="A124" s="10" t="s">
        <v>136</v>
      </c>
    </row>
    <row r="125" spans="1:1" ht="16" x14ac:dyDescent="0.2">
      <c r="A125" s="10" t="s">
        <v>137</v>
      </c>
    </row>
    <row r="126" spans="1:1" ht="16" x14ac:dyDescent="0.2">
      <c r="A126" s="10" t="s">
        <v>138</v>
      </c>
    </row>
    <row r="127" spans="1:1" ht="16" x14ac:dyDescent="0.2">
      <c r="A127" s="10" t="s">
        <v>139</v>
      </c>
    </row>
    <row r="128" spans="1:1" ht="16" x14ac:dyDescent="0.2">
      <c r="A128" s="10" t="s">
        <v>140</v>
      </c>
    </row>
    <row r="129" spans="1:1" ht="16" x14ac:dyDescent="0.2">
      <c r="A129" s="10" t="s">
        <v>141</v>
      </c>
    </row>
    <row r="130" spans="1:1" ht="16" x14ac:dyDescent="0.2">
      <c r="A130" s="10" t="s">
        <v>142</v>
      </c>
    </row>
    <row r="131" spans="1:1" ht="16" x14ac:dyDescent="0.2">
      <c r="A131" s="10" t="s">
        <v>143</v>
      </c>
    </row>
    <row r="132" spans="1:1" ht="16" x14ac:dyDescent="0.2">
      <c r="A132" s="10" t="s">
        <v>144</v>
      </c>
    </row>
    <row r="133" spans="1:1" ht="16" x14ac:dyDescent="0.2">
      <c r="A133" s="10" t="s">
        <v>145</v>
      </c>
    </row>
    <row r="134" spans="1:1" ht="16" x14ac:dyDescent="0.2">
      <c r="A134" s="10" t="s">
        <v>146</v>
      </c>
    </row>
    <row r="135" spans="1:1" ht="16" x14ac:dyDescent="0.2">
      <c r="A135" s="10" t="s">
        <v>147</v>
      </c>
    </row>
    <row r="137" spans="1:1" x14ac:dyDescent="0.2">
      <c r="A137" s="5"/>
    </row>
    <row r="138" spans="1:1" ht="16" x14ac:dyDescent="0.2">
      <c r="A138" s="10" t="s">
        <v>148</v>
      </c>
    </row>
    <row r="139" spans="1:1" ht="16" x14ac:dyDescent="0.2">
      <c r="A139" s="10" t="s">
        <v>149</v>
      </c>
    </row>
    <row r="140" spans="1:1" ht="16" x14ac:dyDescent="0.2">
      <c r="A140" s="10" t="s">
        <v>150</v>
      </c>
    </row>
    <row r="141" spans="1:1" ht="16" x14ac:dyDescent="0.2">
      <c r="A141" s="10" t="s">
        <v>151</v>
      </c>
    </row>
    <row r="142" spans="1:1" ht="16" x14ac:dyDescent="0.2">
      <c r="A142" s="10" t="s">
        <v>152</v>
      </c>
    </row>
    <row r="143" spans="1:1" ht="16" x14ac:dyDescent="0.2">
      <c r="A143" s="10" t="s">
        <v>153</v>
      </c>
    </row>
    <row r="144" spans="1:1" ht="16" x14ac:dyDescent="0.2">
      <c r="A144" s="10" t="s">
        <v>154</v>
      </c>
    </row>
    <row r="145" spans="1:1" ht="16" x14ac:dyDescent="0.2">
      <c r="A145" s="10" t="s">
        <v>155</v>
      </c>
    </row>
    <row r="146" spans="1:1" ht="16" x14ac:dyDescent="0.2">
      <c r="A146" s="10" t="s">
        <v>156</v>
      </c>
    </row>
    <row r="147" spans="1:1" ht="16" x14ac:dyDescent="0.2">
      <c r="A147" s="10" t="s">
        <v>157</v>
      </c>
    </row>
    <row r="148" spans="1:1" ht="16" x14ac:dyDescent="0.2">
      <c r="A148" s="10" t="s">
        <v>158</v>
      </c>
    </row>
    <row r="150" spans="1:1" x14ac:dyDescent="0.2">
      <c r="A150" s="5"/>
    </row>
    <row r="151" spans="1:1" ht="16" x14ac:dyDescent="0.2">
      <c r="A151" s="10" t="s">
        <v>159</v>
      </c>
    </row>
    <row r="152" spans="1:1" ht="16" x14ac:dyDescent="0.2">
      <c r="A152" s="10" t="s">
        <v>160</v>
      </c>
    </row>
    <row r="153" spans="1:1" ht="16" x14ac:dyDescent="0.2">
      <c r="A153" s="10" t="s">
        <v>161</v>
      </c>
    </row>
    <row r="154" spans="1:1" ht="16" x14ac:dyDescent="0.2">
      <c r="A154" s="10" t="s">
        <v>162</v>
      </c>
    </row>
    <row r="155" spans="1:1" ht="16" x14ac:dyDescent="0.2">
      <c r="A155" s="10" t="s">
        <v>163</v>
      </c>
    </row>
    <row r="156" spans="1:1" ht="16" x14ac:dyDescent="0.2">
      <c r="A156" s="10" t="s">
        <v>164</v>
      </c>
    </row>
    <row r="157" spans="1:1" ht="16" x14ac:dyDescent="0.2">
      <c r="A157" s="10" t="s">
        <v>165</v>
      </c>
    </row>
    <row r="158" spans="1:1" ht="16" x14ac:dyDescent="0.2">
      <c r="A158" s="10" t="s">
        <v>166</v>
      </c>
    </row>
    <row r="159" spans="1:1" ht="16" x14ac:dyDescent="0.2">
      <c r="A159" s="10" t="s">
        <v>167</v>
      </c>
    </row>
    <row r="160" spans="1:1" ht="16" x14ac:dyDescent="0.2">
      <c r="A160" s="10" t="s">
        <v>168</v>
      </c>
    </row>
    <row r="161" spans="1:1" ht="16" x14ac:dyDescent="0.2">
      <c r="A161" s="10" t="s">
        <v>169</v>
      </c>
    </row>
    <row r="162" spans="1:1" ht="16" x14ac:dyDescent="0.2">
      <c r="A162" s="10" t="s">
        <v>170</v>
      </c>
    </row>
    <row r="163" spans="1:1" ht="16" x14ac:dyDescent="0.2">
      <c r="A163" s="10" t="s">
        <v>171</v>
      </c>
    </row>
    <row r="164" spans="1:1" ht="16" x14ac:dyDescent="0.2">
      <c r="A164" s="10" t="s">
        <v>172</v>
      </c>
    </row>
    <row r="165" spans="1:1" ht="16" x14ac:dyDescent="0.2">
      <c r="A165" s="10" t="s">
        <v>173</v>
      </c>
    </row>
    <row r="166" spans="1:1" ht="16" x14ac:dyDescent="0.2">
      <c r="A166" s="10" t="s">
        <v>174</v>
      </c>
    </row>
    <row r="167" spans="1:1" ht="16" x14ac:dyDescent="0.2">
      <c r="A167" s="10" t="s">
        <v>175</v>
      </c>
    </row>
    <row r="168" spans="1:1" ht="16" x14ac:dyDescent="0.2">
      <c r="A168" s="10" t="s">
        <v>176</v>
      </c>
    </row>
    <row r="169" spans="1:1" ht="16" x14ac:dyDescent="0.2">
      <c r="A169" s="10" t="s">
        <v>177</v>
      </c>
    </row>
    <row r="170" spans="1:1" ht="16" x14ac:dyDescent="0.2">
      <c r="A170" s="10" t="s">
        <v>178</v>
      </c>
    </row>
    <row r="171" spans="1:1" ht="16" x14ac:dyDescent="0.2">
      <c r="A171" s="10" t="s">
        <v>179</v>
      </c>
    </row>
    <row r="172" spans="1:1" ht="16" x14ac:dyDescent="0.2">
      <c r="A172" s="10" t="s">
        <v>180</v>
      </c>
    </row>
    <row r="173" spans="1:1" ht="16" x14ac:dyDescent="0.2">
      <c r="A173" s="10" t="s">
        <v>181</v>
      </c>
    </row>
    <row r="174" spans="1:1" ht="16" x14ac:dyDescent="0.2">
      <c r="A174" s="10" t="s">
        <v>182</v>
      </c>
    </row>
    <row r="175" spans="1:1" ht="16" x14ac:dyDescent="0.2">
      <c r="A175" s="10" t="s">
        <v>183</v>
      </c>
    </row>
    <row r="176" spans="1:1" ht="16" x14ac:dyDescent="0.2">
      <c r="A176" s="10" t="s">
        <v>184</v>
      </c>
    </row>
    <row r="177" spans="1:1" ht="16" x14ac:dyDescent="0.2">
      <c r="A177" s="10" t="s">
        <v>185</v>
      </c>
    </row>
    <row r="178" spans="1:1" ht="16" x14ac:dyDescent="0.2">
      <c r="A178" s="10" t="s">
        <v>186</v>
      </c>
    </row>
    <row r="179" spans="1:1" ht="16" x14ac:dyDescent="0.2">
      <c r="A179" s="10" t="s">
        <v>187</v>
      </c>
    </row>
    <row r="180" spans="1:1" ht="16" x14ac:dyDescent="0.2">
      <c r="A180" s="10" t="s">
        <v>188</v>
      </c>
    </row>
    <row r="181" spans="1:1" ht="16" x14ac:dyDescent="0.2">
      <c r="A181" s="10" t="s">
        <v>189</v>
      </c>
    </row>
    <row r="182" spans="1:1" ht="16" x14ac:dyDescent="0.2">
      <c r="A182" s="10" t="s">
        <v>190</v>
      </c>
    </row>
    <row r="183" spans="1:1" ht="16" x14ac:dyDescent="0.2">
      <c r="A183" s="10" t="s">
        <v>191</v>
      </c>
    </row>
    <row r="184" spans="1:1" ht="16" x14ac:dyDescent="0.2">
      <c r="A184" s="10" t="s">
        <v>192</v>
      </c>
    </row>
    <row r="185" spans="1:1" ht="16" x14ac:dyDescent="0.2">
      <c r="A185" s="10" t="s">
        <v>193</v>
      </c>
    </row>
    <row r="186" spans="1:1" ht="16" x14ac:dyDescent="0.2">
      <c r="A186" s="10" t="s">
        <v>194</v>
      </c>
    </row>
    <row r="187" spans="1:1" ht="16" x14ac:dyDescent="0.2">
      <c r="A187" s="10" t="s">
        <v>195</v>
      </c>
    </row>
    <row r="188" spans="1:1" ht="16" x14ac:dyDescent="0.2">
      <c r="A188" s="10" t="s">
        <v>196</v>
      </c>
    </row>
    <row r="189" spans="1:1" ht="16" x14ac:dyDescent="0.2">
      <c r="A189" s="10" t="s">
        <v>197</v>
      </c>
    </row>
    <row r="190" spans="1:1" ht="16" x14ac:dyDescent="0.2">
      <c r="A190" s="10" t="s">
        <v>198</v>
      </c>
    </row>
    <row r="192" spans="1:1" x14ac:dyDescent="0.2">
      <c r="A192" s="5"/>
    </row>
    <row r="193" spans="1:1" ht="16" x14ac:dyDescent="0.2">
      <c r="A193" s="10" t="s">
        <v>199</v>
      </c>
    </row>
    <row r="194" spans="1:1" ht="16" x14ac:dyDescent="0.2">
      <c r="A194" s="10" t="s">
        <v>200</v>
      </c>
    </row>
    <row r="195" spans="1:1" ht="16" x14ac:dyDescent="0.2">
      <c r="A195" s="10" t="s">
        <v>201</v>
      </c>
    </row>
    <row r="196" spans="1:1" ht="16" x14ac:dyDescent="0.2">
      <c r="A196" s="10" t="s">
        <v>202</v>
      </c>
    </row>
    <row r="197" spans="1:1" ht="16" x14ac:dyDescent="0.2">
      <c r="A197" s="10" t="s">
        <v>203</v>
      </c>
    </row>
    <row r="198" spans="1:1" ht="16" x14ac:dyDescent="0.2">
      <c r="A198" s="10" t="s">
        <v>204</v>
      </c>
    </row>
    <row r="199" spans="1:1" ht="16" x14ac:dyDescent="0.2">
      <c r="A199" s="10" t="s">
        <v>205</v>
      </c>
    </row>
    <row r="200" spans="1:1" ht="16" x14ac:dyDescent="0.2">
      <c r="A200" s="10" t="s">
        <v>206</v>
      </c>
    </row>
    <row r="201" spans="1:1" ht="16" x14ac:dyDescent="0.2">
      <c r="A201" s="10" t="s">
        <v>207</v>
      </c>
    </row>
    <row r="202" spans="1:1" ht="16" x14ac:dyDescent="0.2">
      <c r="A202" s="10" t="s">
        <v>208</v>
      </c>
    </row>
    <row r="203" spans="1:1" ht="16" x14ac:dyDescent="0.2">
      <c r="A203" s="10" t="s">
        <v>209</v>
      </c>
    </row>
    <row r="204" spans="1:1" ht="16" x14ac:dyDescent="0.2">
      <c r="A204" s="10" t="s">
        <v>210</v>
      </c>
    </row>
    <row r="205" spans="1:1" x14ac:dyDescent="0.2">
      <c r="A205" s="5"/>
    </row>
    <row r="206" spans="1:1" ht="16" x14ac:dyDescent="0.2">
      <c r="A206" s="10" t="s">
        <v>211</v>
      </c>
    </row>
    <row r="207" spans="1:1" ht="16" x14ac:dyDescent="0.2">
      <c r="A207" s="10" t="s">
        <v>212</v>
      </c>
    </row>
    <row r="208" spans="1:1" ht="16" x14ac:dyDescent="0.2">
      <c r="A208" s="10" t="s">
        <v>213</v>
      </c>
    </row>
    <row r="209" spans="1:1" ht="16" x14ac:dyDescent="0.2">
      <c r="A209" s="10" t="s">
        <v>214</v>
      </c>
    </row>
    <row r="210" spans="1:1" ht="16" x14ac:dyDescent="0.2">
      <c r="A210" s="10" t="s">
        <v>215</v>
      </c>
    </row>
    <row r="211" spans="1:1" ht="16" x14ac:dyDescent="0.2">
      <c r="A211" s="10" t="s">
        <v>216</v>
      </c>
    </row>
    <row r="212" spans="1:1" ht="16" x14ac:dyDescent="0.2">
      <c r="A212" s="10" t="s">
        <v>217</v>
      </c>
    </row>
    <row r="213" spans="1:1" ht="16" x14ac:dyDescent="0.2">
      <c r="A213" s="10" t="s">
        <v>218</v>
      </c>
    </row>
    <row r="215" spans="1:1" x14ac:dyDescent="0.2">
      <c r="A215" s="5"/>
    </row>
    <row r="216" spans="1:1" ht="16" x14ac:dyDescent="0.2">
      <c r="A216" s="10" t="s">
        <v>219</v>
      </c>
    </row>
    <row r="217" spans="1:1" ht="16" x14ac:dyDescent="0.2">
      <c r="A217" s="10" t="s">
        <v>220</v>
      </c>
    </row>
    <row r="218" spans="1:1" ht="16" x14ac:dyDescent="0.2">
      <c r="A218" s="10" t="s">
        <v>221</v>
      </c>
    </row>
    <row r="219" spans="1:1" ht="16" x14ac:dyDescent="0.2">
      <c r="A219" s="10" t="s">
        <v>222</v>
      </c>
    </row>
    <row r="220" spans="1:1" ht="16" x14ac:dyDescent="0.2">
      <c r="A220" s="10" t="s">
        <v>223</v>
      </c>
    </row>
    <row r="221" spans="1:1" ht="16" x14ac:dyDescent="0.2">
      <c r="A221" s="10" t="s">
        <v>224</v>
      </c>
    </row>
    <row r="222" spans="1:1" ht="16" x14ac:dyDescent="0.2">
      <c r="A222" s="10" t="s">
        <v>225</v>
      </c>
    </row>
    <row r="223" spans="1:1" ht="16" x14ac:dyDescent="0.2">
      <c r="A223" s="10"/>
    </row>
    <row r="224" spans="1:1" x14ac:dyDescent="0.2">
      <c r="A224" s="5"/>
    </row>
    <row r="225" spans="1:1" ht="16" x14ac:dyDescent="0.2">
      <c r="A225" s="10" t="s">
        <v>226</v>
      </c>
    </row>
    <row r="226" spans="1:1" ht="16" x14ac:dyDescent="0.2">
      <c r="A226" s="10" t="s">
        <v>227</v>
      </c>
    </row>
    <row r="227" spans="1:1" ht="16" x14ac:dyDescent="0.2">
      <c r="A227" s="10" t="s">
        <v>228</v>
      </c>
    </row>
    <row r="228" spans="1:1" ht="16" x14ac:dyDescent="0.2">
      <c r="A228" s="10" t="s">
        <v>229</v>
      </c>
    </row>
    <row r="229" spans="1:1" ht="16" x14ac:dyDescent="0.2">
      <c r="A229" s="10" t="s">
        <v>230</v>
      </c>
    </row>
    <row r="230" spans="1:1" ht="16" x14ac:dyDescent="0.2">
      <c r="A230" s="10" t="s">
        <v>231</v>
      </c>
    </row>
    <row r="231" spans="1:1" ht="16" x14ac:dyDescent="0.2">
      <c r="A231" s="10" t="s">
        <v>232</v>
      </c>
    </row>
    <row r="232" spans="1:1" ht="16" x14ac:dyDescent="0.2">
      <c r="A232" s="10" t="s">
        <v>233</v>
      </c>
    </row>
    <row r="233" spans="1:1" ht="16" x14ac:dyDescent="0.2">
      <c r="A233" s="10" t="s">
        <v>234</v>
      </c>
    </row>
    <row r="234" spans="1:1" ht="16" x14ac:dyDescent="0.2">
      <c r="A234" s="10" t="s">
        <v>235</v>
      </c>
    </row>
    <row r="235" spans="1:1" ht="16" x14ac:dyDescent="0.2">
      <c r="A235" s="10" t="s">
        <v>236</v>
      </c>
    </row>
    <row r="236" spans="1:1" ht="16" x14ac:dyDescent="0.2">
      <c r="A236" s="10" t="s">
        <v>237</v>
      </c>
    </row>
    <row r="237" spans="1:1" ht="16" x14ac:dyDescent="0.2">
      <c r="A237" s="10" t="s">
        <v>238</v>
      </c>
    </row>
    <row r="238" spans="1:1" ht="16" x14ac:dyDescent="0.2">
      <c r="A238" s="10"/>
    </row>
    <row r="239" spans="1:1" ht="16" x14ac:dyDescent="0.2">
      <c r="A239" s="10" t="s">
        <v>239</v>
      </c>
    </row>
    <row r="240" spans="1:1" ht="16" x14ac:dyDescent="0.2">
      <c r="A240" s="10" t="s">
        <v>240</v>
      </c>
    </row>
    <row r="241" spans="1:1" ht="16" x14ac:dyDescent="0.2">
      <c r="A241" s="10" t="s">
        <v>241</v>
      </c>
    </row>
    <row r="242" spans="1:1" ht="16" x14ac:dyDescent="0.2">
      <c r="A242" s="10" t="s">
        <v>242</v>
      </c>
    </row>
    <row r="243" spans="1:1" ht="16" x14ac:dyDescent="0.2">
      <c r="A243" s="10" t="s">
        <v>243</v>
      </c>
    </row>
    <row r="244" spans="1:1" ht="16" x14ac:dyDescent="0.2">
      <c r="A244" s="10" t="s">
        <v>244</v>
      </c>
    </row>
    <row r="245" spans="1:1" ht="16" x14ac:dyDescent="0.2">
      <c r="A245" s="10" t="s">
        <v>245</v>
      </c>
    </row>
    <row r="246" spans="1:1" ht="16" x14ac:dyDescent="0.2">
      <c r="A246" s="10" t="s">
        <v>246</v>
      </c>
    </row>
    <row r="248" spans="1:1" x14ac:dyDescent="0.2">
      <c r="A248" s="5"/>
    </row>
    <row r="249" spans="1:1" ht="16" x14ac:dyDescent="0.2">
      <c r="A249" s="10" t="s">
        <v>247</v>
      </c>
    </row>
    <row r="250" spans="1:1" ht="16" x14ac:dyDescent="0.2">
      <c r="A250" s="10" t="s">
        <v>248</v>
      </c>
    </row>
    <row r="251" spans="1:1" ht="16" x14ac:dyDescent="0.2">
      <c r="A251" s="10" t="s">
        <v>249</v>
      </c>
    </row>
    <row r="252" spans="1:1" ht="16" x14ac:dyDescent="0.2">
      <c r="A252" s="10" t="s">
        <v>250</v>
      </c>
    </row>
    <row r="253" spans="1:1" ht="16" x14ac:dyDescent="0.2">
      <c r="A253" s="10" t="s">
        <v>251</v>
      </c>
    </row>
    <row r="254" spans="1:1" ht="16" x14ac:dyDescent="0.2">
      <c r="A254" s="10" t="s">
        <v>252</v>
      </c>
    </row>
    <row r="255" spans="1:1" ht="16" x14ac:dyDescent="0.2">
      <c r="A255" s="10" t="s">
        <v>253</v>
      </c>
    </row>
    <row r="256" spans="1:1" ht="16" x14ac:dyDescent="0.2">
      <c r="A256" s="10" t="s">
        <v>254</v>
      </c>
    </row>
    <row r="257" spans="1:1" ht="16" x14ac:dyDescent="0.2">
      <c r="A257" s="10" t="s">
        <v>255</v>
      </c>
    </row>
    <row r="258" spans="1:1" ht="16" x14ac:dyDescent="0.2">
      <c r="A258" s="10" t="s">
        <v>256</v>
      </c>
    </row>
    <row r="260" spans="1:1" x14ac:dyDescent="0.2">
      <c r="A260" s="5"/>
    </row>
    <row r="261" spans="1:1" ht="16" x14ac:dyDescent="0.2">
      <c r="A261" s="10" t="s">
        <v>257</v>
      </c>
    </row>
    <row r="262" spans="1:1" ht="16" x14ac:dyDescent="0.2">
      <c r="A262" s="10" t="s">
        <v>258</v>
      </c>
    </row>
    <row r="263" spans="1:1" ht="16" x14ac:dyDescent="0.2">
      <c r="A263" s="10" t="s">
        <v>259</v>
      </c>
    </row>
    <row r="264" spans="1:1" ht="16" x14ac:dyDescent="0.2">
      <c r="A264" s="10" t="s">
        <v>260</v>
      </c>
    </row>
    <row r="265" spans="1:1" ht="16" x14ac:dyDescent="0.2">
      <c r="A265" s="10" t="s">
        <v>261</v>
      </c>
    </row>
    <row r="266" spans="1:1" ht="16" x14ac:dyDescent="0.2">
      <c r="A266" s="10" t="s">
        <v>262</v>
      </c>
    </row>
    <row r="267" spans="1:1" ht="16" x14ac:dyDescent="0.2">
      <c r="A267" s="10" t="s">
        <v>263</v>
      </c>
    </row>
    <row r="268" spans="1:1" ht="16" x14ac:dyDescent="0.2">
      <c r="A268" s="10" t="s">
        <v>264</v>
      </c>
    </row>
    <row r="269" spans="1:1" ht="16" x14ac:dyDescent="0.2">
      <c r="A269" s="10" t="s">
        <v>265</v>
      </c>
    </row>
    <row r="270" spans="1:1" ht="16" x14ac:dyDescent="0.2">
      <c r="A270" s="10" t="s">
        <v>266</v>
      </c>
    </row>
    <row r="271" spans="1:1" ht="16" x14ac:dyDescent="0.2">
      <c r="A271" s="10" t="s">
        <v>267</v>
      </c>
    </row>
    <row r="272" spans="1:1" ht="16" x14ac:dyDescent="0.2">
      <c r="A272" s="10" t="s">
        <v>268</v>
      </c>
    </row>
    <row r="273" spans="1:1" ht="16" x14ac:dyDescent="0.2">
      <c r="A273" s="10" t="s">
        <v>269</v>
      </c>
    </row>
    <row r="274" spans="1:1" ht="16" x14ac:dyDescent="0.2">
      <c r="A274" s="10" t="s">
        <v>270</v>
      </c>
    </row>
    <row r="292" spans="1:1" x14ac:dyDescent="0.2">
      <c r="A292" t="s">
        <v>271</v>
      </c>
    </row>
    <row r="293" spans="1:1" x14ac:dyDescent="0.2">
      <c r="A293" t="s">
        <v>272</v>
      </c>
    </row>
    <row r="295" spans="1:1" x14ac:dyDescent="0.2">
      <c r="A295" s="11" t="s">
        <v>272</v>
      </c>
    </row>
    <row r="296" spans="1:1" x14ac:dyDescent="0.2">
      <c r="A296" s="11" t="s">
        <v>273</v>
      </c>
    </row>
    <row r="297" spans="1:1" x14ac:dyDescent="0.2">
      <c r="A297" s="11" t="s">
        <v>274</v>
      </c>
    </row>
    <row r="298" spans="1:1" x14ac:dyDescent="0.2">
      <c r="A298" s="11" t="s">
        <v>275</v>
      </c>
    </row>
    <row r="299" spans="1:1" x14ac:dyDescent="0.2">
      <c r="A299" s="11" t="s">
        <v>276</v>
      </c>
    </row>
    <row r="300" spans="1:1" ht="16" x14ac:dyDescent="0.2">
      <c r="A300" s="12" t="s">
        <v>277</v>
      </c>
    </row>
    <row r="301" spans="1:1" ht="16" x14ac:dyDescent="0.2">
      <c r="A301" s="12" t="s">
        <v>278</v>
      </c>
    </row>
    <row r="302" spans="1:1" ht="16" x14ac:dyDescent="0.2">
      <c r="A302" s="12" t="s">
        <v>279</v>
      </c>
    </row>
    <row r="303" spans="1:1" ht="16" x14ac:dyDescent="0.2">
      <c r="A303" s="12" t="s">
        <v>280</v>
      </c>
    </row>
    <row r="304" spans="1:1" ht="16" x14ac:dyDescent="0.2">
      <c r="A304" s="12" t="s">
        <v>281</v>
      </c>
    </row>
    <row r="305" spans="1:1" ht="16" x14ac:dyDescent="0.2">
      <c r="A305" s="12" t="s">
        <v>282</v>
      </c>
    </row>
    <row r="306" spans="1:1" ht="16" x14ac:dyDescent="0.2">
      <c r="A306" s="12" t="s">
        <v>283</v>
      </c>
    </row>
    <row r="307" spans="1:1" ht="16" x14ac:dyDescent="0.2">
      <c r="A307" s="12" t="s">
        <v>284</v>
      </c>
    </row>
    <row r="308" spans="1:1" ht="16" x14ac:dyDescent="0.2">
      <c r="A308" s="12" t="s">
        <v>285</v>
      </c>
    </row>
    <row r="309" spans="1:1" ht="16" x14ac:dyDescent="0.2">
      <c r="A309" s="12" t="s">
        <v>286</v>
      </c>
    </row>
    <row r="310" spans="1:1" ht="16" x14ac:dyDescent="0.2">
      <c r="A310" s="12" t="s">
        <v>287</v>
      </c>
    </row>
    <row r="311" spans="1:1" ht="16" x14ac:dyDescent="0.2">
      <c r="A311" s="12" t="s">
        <v>288</v>
      </c>
    </row>
    <row r="312" spans="1:1" ht="16" x14ac:dyDescent="0.2">
      <c r="A312" s="12" t="s">
        <v>289</v>
      </c>
    </row>
    <row r="313" spans="1:1" ht="16" x14ac:dyDescent="0.2">
      <c r="A313" s="12" t="s">
        <v>290</v>
      </c>
    </row>
    <row r="314" spans="1:1" ht="16" x14ac:dyDescent="0.2">
      <c r="A314" s="12" t="s">
        <v>291</v>
      </c>
    </row>
    <row r="315" spans="1:1" ht="16" x14ac:dyDescent="0.2">
      <c r="A315" s="12" t="s">
        <v>292</v>
      </c>
    </row>
    <row r="316" spans="1:1" ht="16" x14ac:dyDescent="0.2">
      <c r="A316" s="12" t="s">
        <v>293</v>
      </c>
    </row>
    <row r="317" spans="1:1" ht="16" x14ac:dyDescent="0.2">
      <c r="A317" s="12" t="s">
        <v>294</v>
      </c>
    </row>
    <row r="318" spans="1:1" ht="16" x14ac:dyDescent="0.2">
      <c r="A318" s="12" t="s">
        <v>295</v>
      </c>
    </row>
    <row r="319" spans="1:1" ht="16" x14ac:dyDescent="0.2">
      <c r="A319" s="12" t="s">
        <v>296</v>
      </c>
    </row>
    <row r="320" spans="1:1" ht="16" x14ac:dyDescent="0.2">
      <c r="A320" s="12" t="s">
        <v>297</v>
      </c>
    </row>
    <row r="321" spans="1:1" ht="16" x14ac:dyDescent="0.2">
      <c r="A321" s="12" t="s">
        <v>298</v>
      </c>
    </row>
    <row r="322" spans="1:1" ht="16" x14ac:dyDescent="0.2">
      <c r="A322" s="12" t="s">
        <v>299</v>
      </c>
    </row>
    <row r="323" spans="1:1" ht="16" x14ac:dyDescent="0.2">
      <c r="A323" s="12" t="s">
        <v>300</v>
      </c>
    </row>
    <row r="324" spans="1:1" ht="16" x14ac:dyDescent="0.2">
      <c r="A324" s="12" t="s">
        <v>301</v>
      </c>
    </row>
    <row r="325" spans="1:1" ht="16" x14ac:dyDescent="0.2">
      <c r="A325" s="12" t="s">
        <v>23</v>
      </c>
    </row>
    <row r="326" spans="1:1" ht="16" x14ac:dyDescent="0.2">
      <c r="A326" s="12" t="s">
        <v>302</v>
      </c>
    </row>
    <row r="327" spans="1:1" ht="16" x14ac:dyDescent="0.2">
      <c r="A327" s="12" t="s">
        <v>303</v>
      </c>
    </row>
    <row r="328" spans="1:1" ht="16" x14ac:dyDescent="0.2">
      <c r="A328" s="12" t="s">
        <v>304</v>
      </c>
    </row>
    <row r="329" spans="1:1" ht="16" x14ac:dyDescent="0.2">
      <c r="A329" s="12" t="s">
        <v>305</v>
      </c>
    </row>
    <row r="330" spans="1:1" ht="16" x14ac:dyDescent="0.2">
      <c r="A330" s="12" t="s">
        <v>306</v>
      </c>
    </row>
    <row r="331" spans="1:1" ht="16" x14ac:dyDescent="0.2">
      <c r="A331" s="12" t="s">
        <v>307</v>
      </c>
    </row>
    <row r="332" spans="1:1" ht="16" x14ac:dyDescent="0.2">
      <c r="A332" s="12" t="s">
        <v>308</v>
      </c>
    </row>
    <row r="333" spans="1:1" ht="16" x14ac:dyDescent="0.2">
      <c r="A333" s="12" t="s">
        <v>309</v>
      </c>
    </row>
    <row r="334" spans="1:1" ht="16" x14ac:dyDescent="0.2">
      <c r="A334" s="12" t="s">
        <v>310</v>
      </c>
    </row>
    <row r="335" spans="1:1" ht="16" x14ac:dyDescent="0.2">
      <c r="A335" s="12" t="s">
        <v>311</v>
      </c>
    </row>
    <row r="336" spans="1:1" ht="16" x14ac:dyDescent="0.2">
      <c r="A336" s="12" t="s">
        <v>312</v>
      </c>
    </row>
    <row r="337" spans="1:1" ht="16" x14ac:dyDescent="0.2">
      <c r="A337" s="12" t="s">
        <v>313</v>
      </c>
    </row>
    <row r="338" spans="1:1" ht="16" x14ac:dyDescent="0.2">
      <c r="A338" s="12" t="s">
        <v>314</v>
      </c>
    </row>
    <row r="339" spans="1:1" ht="16" x14ac:dyDescent="0.2">
      <c r="A339" s="12" t="s">
        <v>315</v>
      </c>
    </row>
    <row r="340" spans="1:1" ht="16" x14ac:dyDescent="0.2">
      <c r="A340" s="12" t="s">
        <v>315</v>
      </c>
    </row>
    <row r="341" spans="1:1" ht="16" x14ac:dyDescent="0.2">
      <c r="A341" s="12" t="s">
        <v>316</v>
      </c>
    </row>
    <row r="342" spans="1:1" ht="16" x14ac:dyDescent="0.2">
      <c r="A342" s="12" t="s">
        <v>317</v>
      </c>
    </row>
    <row r="343" spans="1:1" ht="16" x14ac:dyDescent="0.2">
      <c r="A343" s="12" t="s">
        <v>318</v>
      </c>
    </row>
    <row r="344" spans="1:1" ht="16" x14ac:dyDescent="0.2">
      <c r="A344" s="12" t="s">
        <v>319</v>
      </c>
    </row>
    <row r="345" spans="1:1" ht="16" x14ac:dyDescent="0.2">
      <c r="A345" s="12" t="s">
        <v>320</v>
      </c>
    </row>
    <row r="346" spans="1:1" ht="16" x14ac:dyDescent="0.2">
      <c r="A346" s="12" t="s">
        <v>321</v>
      </c>
    </row>
    <row r="347" spans="1:1" ht="16" x14ac:dyDescent="0.2">
      <c r="A347" s="12" t="s">
        <v>322</v>
      </c>
    </row>
    <row r="348" spans="1:1" ht="16" x14ac:dyDescent="0.2">
      <c r="A348" s="12" t="s">
        <v>323</v>
      </c>
    </row>
    <row r="349" spans="1:1" ht="16" x14ac:dyDescent="0.2">
      <c r="A349" s="12" t="s">
        <v>324</v>
      </c>
    </row>
    <row r="350" spans="1:1" ht="16" x14ac:dyDescent="0.2">
      <c r="A350" s="12" t="s">
        <v>325</v>
      </c>
    </row>
    <row r="351" spans="1:1" ht="16" x14ac:dyDescent="0.2">
      <c r="A351" s="12" t="s">
        <v>28</v>
      </c>
    </row>
    <row r="368" spans="1:1" x14ac:dyDescent="0.2">
      <c r="A368" t="s">
        <v>326</v>
      </c>
    </row>
    <row r="369" spans="1:1" x14ac:dyDescent="0.2">
      <c r="A369" t="s">
        <v>327</v>
      </c>
    </row>
    <row r="370" spans="1:1" x14ac:dyDescent="0.2">
      <c r="A370" t="s">
        <v>327</v>
      </c>
    </row>
    <row r="371" spans="1:1" x14ac:dyDescent="0.2">
      <c r="A371" t="s">
        <v>328</v>
      </c>
    </row>
    <row r="372" spans="1:1" x14ac:dyDescent="0.2">
      <c r="A372" t="s">
        <v>329</v>
      </c>
    </row>
    <row r="373" spans="1:1" x14ac:dyDescent="0.2">
      <c r="A373" t="s">
        <v>330</v>
      </c>
    </row>
    <row r="374" spans="1:1" x14ac:dyDescent="0.2">
      <c r="A374" t="s">
        <v>331</v>
      </c>
    </row>
    <row r="375" spans="1:1" x14ac:dyDescent="0.2">
      <c r="A375" t="s">
        <v>332</v>
      </c>
    </row>
    <row r="376" spans="1:1" x14ac:dyDescent="0.2">
      <c r="A376" t="s">
        <v>333</v>
      </c>
    </row>
    <row r="377" spans="1:1" x14ac:dyDescent="0.2">
      <c r="A377" t="s">
        <v>334</v>
      </c>
    </row>
    <row r="378" spans="1:1" x14ac:dyDescent="0.2">
      <c r="A378" t="s">
        <v>335</v>
      </c>
    </row>
    <row r="379" spans="1:1" x14ac:dyDescent="0.2">
      <c r="A379" t="s">
        <v>336</v>
      </c>
    </row>
    <row r="380" spans="1:1" x14ac:dyDescent="0.2">
      <c r="A380" t="s">
        <v>337</v>
      </c>
    </row>
    <row r="381" spans="1:1" x14ac:dyDescent="0.2">
      <c r="A381" t="s">
        <v>338</v>
      </c>
    </row>
    <row r="382" spans="1:1" x14ac:dyDescent="0.2">
      <c r="A382" t="s">
        <v>339</v>
      </c>
    </row>
    <row r="383" spans="1:1" x14ac:dyDescent="0.2">
      <c r="A383" t="s">
        <v>340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F77B-EEB8-43D2-88C9-0327CD3648AC}">
  <sheetPr codeName="Sheet13"/>
  <dimension ref="A1:KF226"/>
  <sheetViews>
    <sheetView showGridLines="0" tabSelected="1" topLeftCell="A4" zoomScale="80" zoomScaleNormal="80" workbookViewId="0">
      <selection activeCell="S16" sqref="S16"/>
    </sheetView>
  </sheetViews>
  <sheetFormatPr baseColWidth="10" defaultColWidth="11.5" defaultRowHeight="54" customHeight="1" x14ac:dyDescent="0.2"/>
  <cols>
    <col min="1" max="1" width="2.33203125" style="1" customWidth="1"/>
    <col min="2" max="2" width="9.1640625" customWidth="1"/>
    <col min="3" max="3" width="12.5" customWidth="1"/>
    <col min="4" max="4" width="9" style="4" customWidth="1"/>
    <col min="5" max="5" width="32.83203125" style="4" customWidth="1"/>
    <col min="6" max="6" width="14.5" customWidth="1"/>
    <col min="7" max="7" width="11.5" customWidth="1"/>
    <col min="8" max="8" width="13.5" customWidth="1"/>
    <col min="9" max="9" width="13.33203125" customWidth="1"/>
    <col min="10" max="10" width="20.1640625" customWidth="1"/>
    <col min="11" max="11" width="15.1640625" customWidth="1"/>
    <col min="12" max="12" width="11.33203125" customWidth="1"/>
    <col min="13" max="13" width="25.5" customWidth="1"/>
    <col min="14" max="14" width="25.6640625" customWidth="1"/>
    <col min="15" max="15" width="17.6640625" customWidth="1"/>
    <col min="16" max="16" width="10.83203125" customWidth="1"/>
    <col min="17" max="17" width="15.6640625" customWidth="1"/>
    <col min="18" max="18" width="13.83203125" customWidth="1"/>
    <col min="19" max="19" width="10.33203125" customWidth="1"/>
    <col min="20" max="20" width="13.5" customWidth="1"/>
    <col min="21" max="21" width="19.83203125" customWidth="1"/>
    <col min="22" max="22" width="11.5" style="9"/>
    <col min="51" max="51" width="13.6640625" bestFit="1" customWidth="1"/>
  </cols>
  <sheetData>
    <row r="1" spans="1:292" s="2" customFormat="1" ht="54" customHeight="1" x14ac:dyDescent="0.2">
      <c r="A1" s="1"/>
      <c r="D1" s="6"/>
      <c r="E1" s="6"/>
      <c r="V1" s="1"/>
      <c r="W1" s="1"/>
      <c r="X1" s="1"/>
      <c r="Y1" s="1"/>
      <c r="Z1" s="1"/>
      <c r="AA1" s="1"/>
      <c r="AB1" s="1"/>
      <c r="AC1" s="1"/>
      <c r="AD1" s="1"/>
      <c r="AE1" s="1"/>
      <c r="AF1" s="1"/>
      <c r="AG1" s="1"/>
      <c r="AH1" s="1"/>
      <c r="AI1" s="1"/>
      <c r="AJ1" s="1"/>
      <c r="AK1" s="1"/>
      <c r="AL1" s="1"/>
      <c r="AM1" s="1"/>
      <c r="AN1" s="1"/>
      <c r="AO1" s="10"/>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row>
    <row r="2" spans="1:292" s="2" customFormat="1" ht="51.75" customHeight="1" x14ac:dyDescent="0.2">
      <c r="A2" s="1"/>
      <c r="D2" s="6"/>
      <c r="E2" s="6"/>
      <c r="V2" s="1"/>
      <c r="W2" s="1"/>
      <c r="X2" s="1"/>
      <c r="Y2" s="1"/>
      <c r="Z2" s="1"/>
      <c r="AA2" s="1"/>
      <c r="AB2" s="1"/>
      <c r="AC2" s="1"/>
      <c r="AD2" s="1"/>
      <c r="AE2" s="1"/>
      <c r="AF2" s="1"/>
      <c r="AG2" s="1"/>
      <c r="AH2" s="1"/>
      <c r="AI2" s="1"/>
      <c r="AJ2" s="1"/>
      <c r="AK2" s="1"/>
      <c r="AL2" s="1"/>
      <c r="AM2" s="1"/>
      <c r="AN2" s="1"/>
      <c r="AO2" s="5"/>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row>
    <row r="3" spans="1:292" s="1" customFormat="1" ht="91.5" customHeight="1" x14ac:dyDescent="0.2">
      <c r="D3" s="7"/>
      <c r="E3" s="7"/>
      <c r="V3" s="9"/>
      <c r="AO3" s="10"/>
    </row>
    <row r="4" spans="1:292" s="1" customFormat="1" ht="21.75" customHeight="1" x14ac:dyDescent="0.2">
      <c r="D4" s="7"/>
      <c r="E4" s="7"/>
      <c r="V4" s="9"/>
      <c r="AO4" s="10"/>
    </row>
    <row r="5" spans="1:292" s="1" customFormat="1" ht="54" customHeight="1" x14ac:dyDescent="0.2">
      <c r="B5" s="8" t="s">
        <v>0</v>
      </c>
      <c r="C5" s="8" t="s">
        <v>1</v>
      </c>
      <c r="D5" s="8" t="s">
        <v>2</v>
      </c>
      <c r="E5" s="8" t="s">
        <v>3</v>
      </c>
      <c r="F5" s="8" t="s">
        <v>4</v>
      </c>
      <c r="G5" s="8" t="s">
        <v>5</v>
      </c>
      <c r="H5" s="8" t="s">
        <v>6</v>
      </c>
      <c r="I5" s="8" t="s">
        <v>7</v>
      </c>
      <c r="J5" s="8" t="s">
        <v>8</v>
      </c>
      <c r="K5" s="8" t="s">
        <v>9</v>
      </c>
      <c r="L5" s="8" t="s">
        <v>10</v>
      </c>
      <c r="M5" s="8" t="s">
        <v>11</v>
      </c>
      <c r="N5" s="8" t="s">
        <v>12</v>
      </c>
      <c r="O5" s="8" t="s">
        <v>13</v>
      </c>
      <c r="P5" s="8" t="s">
        <v>14</v>
      </c>
      <c r="Q5" s="8" t="s">
        <v>15</v>
      </c>
      <c r="R5" s="8" t="s">
        <v>16</v>
      </c>
      <c r="S5" s="8" t="s">
        <v>17</v>
      </c>
      <c r="T5" s="8" t="s">
        <v>18</v>
      </c>
      <c r="U5" s="8" t="s">
        <v>19</v>
      </c>
      <c r="V5" s="9"/>
      <c r="AO5" s="10"/>
      <c r="AY5" s="10"/>
    </row>
    <row r="6" spans="1:292" ht="54" customHeight="1" x14ac:dyDescent="0.2">
      <c r="B6" s="13" t="s">
        <v>355</v>
      </c>
      <c r="C6" s="14">
        <v>45659</v>
      </c>
      <c r="D6" s="3" t="str">
        <f t="shared" ref="D6:D10" si="0">IF(C6="","",TEXT(C6,"MMMM"))</f>
        <v>January</v>
      </c>
      <c r="E6" s="13" t="s">
        <v>22</v>
      </c>
      <c r="F6" s="13" t="s">
        <v>23</v>
      </c>
      <c r="G6" s="13" t="s">
        <v>24</v>
      </c>
      <c r="H6" s="13" t="s">
        <v>355</v>
      </c>
      <c r="I6" s="14">
        <v>45664</v>
      </c>
      <c r="J6" s="13" t="s">
        <v>24</v>
      </c>
      <c r="K6" s="13">
        <v>4</v>
      </c>
      <c r="L6" s="13"/>
      <c r="M6" s="14">
        <v>46396</v>
      </c>
      <c r="N6" s="13" t="s">
        <v>25</v>
      </c>
      <c r="O6" s="14">
        <v>45664</v>
      </c>
      <c r="P6" s="13" t="s">
        <v>356</v>
      </c>
      <c r="Q6" s="13" t="s">
        <v>26</v>
      </c>
      <c r="R6" s="14">
        <v>45694</v>
      </c>
      <c r="S6" s="13" t="s">
        <v>356</v>
      </c>
      <c r="T6" s="4" t="str">
        <f t="shared" ref="T6:T13" ca="1" si="1">IF(Q6="Discard","Discard",
IF(AND(M6&lt;&gt;"",M6&lt;TODAY()),"EXPIRED!",
IF(Q6&lt;&gt;"",Q6,
IF(O6&lt;&gt;"","Ready to Use",
IF(AND(I6&lt;&gt;"",O6=""),"Quarantine",
IF(AND(C6&lt;&gt;"",TODAY()-C6&gt;7),"Delayed",
IF(C6&lt;&gt;"","Ordered","No Data")))))))</f>
        <v>In Use</v>
      </c>
      <c r="U6" s="13"/>
      <c r="AL6" s="10"/>
      <c r="AO6" s="10"/>
      <c r="AX6" s="10"/>
      <c r="AY6" s="10"/>
    </row>
    <row r="7" spans="1:292" ht="54" customHeight="1" x14ac:dyDescent="0.2">
      <c r="B7" s="13" t="s">
        <v>355</v>
      </c>
      <c r="C7" s="14">
        <v>45664</v>
      </c>
      <c r="D7" s="3" t="str">
        <f t="shared" si="0"/>
        <v>January</v>
      </c>
      <c r="E7" s="13" t="s">
        <v>87</v>
      </c>
      <c r="F7" s="13" t="s">
        <v>274</v>
      </c>
      <c r="G7" s="13" t="s">
        <v>341</v>
      </c>
      <c r="H7" s="13" t="s">
        <v>356</v>
      </c>
      <c r="I7" s="14">
        <v>45666</v>
      </c>
      <c r="J7" s="13" t="s">
        <v>342</v>
      </c>
      <c r="K7" s="13">
        <v>3</v>
      </c>
      <c r="L7" s="14">
        <v>45609</v>
      </c>
      <c r="M7" s="14">
        <v>45922</v>
      </c>
      <c r="N7" s="13" t="s">
        <v>25</v>
      </c>
      <c r="O7" s="14">
        <v>45667</v>
      </c>
      <c r="P7" s="13" t="s">
        <v>356</v>
      </c>
      <c r="Q7" s="13" t="s">
        <v>26</v>
      </c>
      <c r="R7" s="14">
        <v>45733</v>
      </c>
      <c r="S7" s="13" t="s">
        <v>355</v>
      </c>
      <c r="T7" s="4" t="str">
        <f t="shared" ca="1" si="1"/>
        <v>In Use</v>
      </c>
      <c r="U7" s="13"/>
      <c r="AL7" s="10"/>
      <c r="AO7" s="10"/>
      <c r="AX7" s="10"/>
      <c r="AY7" s="10"/>
    </row>
    <row r="8" spans="1:292" ht="54" customHeight="1" x14ac:dyDescent="0.2">
      <c r="B8" s="13" t="s">
        <v>355</v>
      </c>
      <c r="C8" s="14">
        <v>45664</v>
      </c>
      <c r="D8" s="3" t="str">
        <f t="shared" si="0"/>
        <v>January</v>
      </c>
      <c r="E8" s="13" t="s">
        <v>138</v>
      </c>
      <c r="F8" s="13" t="s">
        <v>272</v>
      </c>
      <c r="G8" s="13" t="s">
        <v>343</v>
      </c>
      <c r="H8" s="13" t="s">
        <v>356</v>
      </c>
      <c r="I8" s="14">
        <v>45672</v>
      </c>
      <c r="J8" s="13" t="s">
        <v>343</v>
      </c>
      <c r="K8" s="13" t="s">
        <v>344</v>
      </c>
      <c r="L8" s="13" t="s">
        <v>344</v>
      </c>
      <c r="M8" s="13" t="s">
        <v>344</v>
      </c>
      <c r="N8" s="13"/>
      <c r="O8" s="14"/>
      <c r="P8" s="13"/>
      <c r="Q8" s="13" t="s">
        <v>345</v>
      </c>
      <c r="R8" s="14"/>
      <c r="S8" s="13"/>
      <c r="T8" s="4" t="str">
        <f t="shared" ca="1" si="1"/>
        <v>Discard</v>
      </c>
      <c r="U8" s="13" t="s">
        <v>331</v>
      </c>
      <c r="AL8" s="10"/>
      <c r="AO8" s="10"/>
      <c r="AX8" s="10"/>
      <c r="AY8" s="10"/>
    </row>
    <row r="9" spans="1:292" ht="54" customHeight="1" x14ac:dyDescent="0.2">
      <c r="B9" s="13" t="s">
        <v>355</v>
      </c>
      <c r="C9" s="14">
        <v>45664</v>
      </c>
      <c r="D9" s="3" t="str">
        <f t="shared" si="0"/>
        <v>January</v>
      </c>
      <c r="E9" s="13" t="s">
        <v>139</v>
      </c>
      <c r="F9" s="13" t="s">
        <v>272</v>
      </c>
      <c r="G9" s="13" t="s">
        <v>346</v>
      </c>
      <c r="H9" s="13" t="s">
        <v>356</v>
      </c>
      <c r="I9" s="14">
        <v>45670</v>
      </c>
      <c r="J9" s="13" t="s">
        <v>346</v>
      </c>
      <c r="K9" s="13" t="s">
        <v>344</v>
      </c>
      <c r="L9" s="13" t="s">
        <v>344</v>
      </c>
      <c r="M9" s="13" t="s">
        <v>344</v>
      </c>
      <c r="N9" s="13" t="s">
        <v>347</v>
      </c>
      <c r="O9" s="14" t="s">
        <v>348</v>
      </c>
      <c r="P9" s="13" t="s">
        <v>356</v>
      </c>
      <c r="Q9" s="13" t="s">
        <v>26</v>
      </c>
      <c r="R9" s="14">
        <v>45756</v>
      </c>
      <c r="S9" s="13" t="s">
        <v>355</v>
      </c>
      <c r="T9" s="4" t="str">
        <f t="shared" ca="1" si="1"/>
        <v>In Use</v>
      </c>
      <c r="U9" s="13"/>
      <c r="AL9" s="10"/>
      <c r="AO9" s="10"/>
      <c r="AX9" s="10"/>
      <c r="AY9" s="10"/>
    </row>
    <row r="10" spans="1:292" ht="54" customHeight="1" x14ac:dyDescent="0.2">
      <c r="B10" s="13" t="s">
        <v>355</v>
      </c>
      <c r="C10" s="14">
        <v>45664</v>
      </c>
      <c r="D10" s="3" t="str">
        <f t="shared" si="0"/>
        <v>January</v>
      </c>
      <c r="E10" s="13" t="s">
        <v>232</v>
      </c>
      <c r="F10" s="13" t="s">
        <v>314</v>
      </c>
      <c r="G10" s="13" t="s">
        <v>349</v>
      </c>
      <c r="H10" s="13"/>
      <c r="I10" s="13"/>
      <c r="J10" s="13"/>
      <c r="K10" s="13"/>
      <c r="L10" s="13"/>
      <c r="M10" s="13"/>
      <c r="N10" s="13"/>
      <c r="O10" s="14"/>
      <c r="P10" s="13"/>
      <c r="Q10" s="13"/>
      <c r="R10" s="14"/>
      <c r="S10" s="13"/>
      <c r="T10" s="4" t="str">
        <f t="shared" ca="1" si="1"/>
        <v>Delayed</v>
      </c>
      <c r="U10" s="13" t="s">
        <v>340</v>
      </c>
      <c r="AL10" s="10"/>
      <c r="AO10" s="10"/>
      <c r="AX10" s="10"/>
      <c r="AY10" s="10"/>
    </row>
    <row r="11" spans="1:292" ht="54" customHeight="1" x14ac:dyDescent="0.2">
      <c r="B11" s="13" t="s">
        <v>355</v>
      </c>
      <c r="C11" s="14">
        <v>45664</v>
      </c>
      <c r="D11" s="3" t="str">
        <f t="shared" ref="D11:D16" si="2">IF(C11="","",TEXT(C11,"MMMM"))</f>
        <v>January</v>
      </c>
      <c r="E11" s="13" t="s">
        <v>240</v>
      </c>
      <c r="F11" s="13" t="s">
        <v>314</v>
      </c>
      <c r="G11" s="13" t="s">
        <v>350</v>
      </c>
      <c r="H11" s="13" t="s">
        <v>357</v>
      </c>
      <c r="I11" s="13"/>
      <c r="J11" s="13" t="s">
        <v>351</v>
      </c>
      <c r="K11" s="13"/>
      <c r="L11" s="13"/>
      <c r="M11" s="13"/>
      <c r="N11" s="13" t="s">
        <v>347</v>
      </c>
      <c r="O11" s="14">
        <v>45687</v>
      </c>
      <c r="P11" s="13" t="s">
        <v>356</v>
      </c>
      <c r="Q11" s="13" t="s">
        <v>26</v>
      </c>
      <c r="R11" s="14">
        <v>45687</v>
      </c>
      <c r="S11" s="13" t="s">
        <v>356</v>
      </c>
      <c r="T11" s="4" t="str">
        <f t="shared" ca="1" si="1"/>
        <v>In Use</v>
      </c>
      <c r="U11" s="13"/>
      <c r="AL11" s="10"/>
      <c r="AO11" s="10"/>
      <c r="AX11" s="10"/>
      <c r="AY11" s="10"/>
    </row>
    <row r="12" spans="1:292" ht="54" customHeight="1" x14ac:dyDescent="0.2">
      <c r="B12" s="13" t="s">
        <v>355</v>
      </c>
      <c r="C12" s="14">
        <v>45665</v>
      </c>
      <c r="D12" s="3" t="str">
        <f t="shared" si="2"/>
        <v>January</v>
      </c>
      <c r="E12" s="13" t="s">
        <v>50</v>
      </c>
      <c r="F12" s="13" t="s">
        <v>275</v>
      </c>
      <c r="G12" s="13" t="s">
        <v>346</v>
      </c>
      <c r="H12" s="13" t="s">
        <v>355</v>
      </c>
      <c r="I12" s="13"/>
      <c r="J12" s="13" t="s">
        <v>346</v>
      </c>
      <c r="K12" s="13">
        <v>2</v>
      </c>
      <c r="L12" s="14">
        <v>45503</v>
      </c>
      <c r="M12" s="14">
        <v>45961</v>
      </c>
      <c r="N12" s="13" t="s">
        <v>25</v>
      </c>
      <c r="O12" s="14">
        <v>45672</v>
      </c>
      <c r="P12" s="13" t="s">
        <v>356</v>
      </c>
      <c r="Q12" s="13" t="s">
        <v>26</v>
      </c>
      <c r="R12" s="14">
        <v>45691</v>
      </c>
      <c r="S12" s="13" t="s">
        <v>356</v>
      </c>
      <c r="T12" s="4" t="str">
        <f t="shared" ca="1" si="1"/>
        <v>In Use</v>
      </c>
      <c r="U12" s="13"/>
      <c r="AL12" s="10"/>
      <c r="AO12" s="10"/>
      <c r="AX12" s="10"/>
      <c r="AY12" s="10"/>
    </row>
    <row r="13" spans="1:292" ht="54" customHeight="1" x14ac:dyDescent="0.2">
      <c r="B13" s="13" t="s">
        <v>356</v>
      </c>
      <c r="C13" s="14">
        <v>45665</v>
      </c>
      <c r="D13" s="3" t="str">
        <f t="shared" si="2"/>
        <v>January</v>
      </c>
      <c r="E13" s="13" t="s">
        <v>144</v>
      </c>
      <c r="F13" s="13" t="s">
        <v>281</v>
      </c>
      <c r="G13" s="13" t="s">
        <v>352</v>
      </c>
      <c r="H13" s="13" t="s">
        <v>355</v>
      </c>
      <c r="I13" s="14">
        <v>45673</v>
      </c>
      <c r="J13" s="13" t="s">
        <v>353</v>
      </c>
      <c r="K13" s="13">
        <v>1</v>
      </c>
      <c r="L13" s="14">
        <v>45587</v>
      </c>
      <c r="M13" s="14">
        <v>47048</v>
      </c>
      <c r="N13" s="13" t="s">
        <v>25</v>
      </c>
      <c r="O13" s="14">
        <v>45673</v>
      </c>
      <c r="P13" s="13" t="s">
        <v>356</v>
      </c>
      <c r="Q13" s="13" t="s">
        <v>26</v>
      </c>
      <c r="R13" s="14">
        <v>45709</v>
      </c>
      <c r="S13" s="13" t="s">
        <v>356</v>
      </c>
      <c r="T13" s="4" t="str">
        <f t="shared" ca="1" si="1"/>
        <v>In Use</v>
      </c>
      <c r="U13" s="13"/>
      <c r="AL13" s="10"/>
      <c r="AO13" s="10"/>
      <c r="AX13" s="10"/>
      <c r="AY13" s="10"/>
    </row>
    <row r="14" spans="1:292" ht="54" customHeight="1" x14ac:dyDescent="0.2">
      <c r="B14" s="13" t="s">
        <v>356</v>
      </c>
      <c r="C14" s="14">
        <v>45665</v>
      </c>
      <c r="D14" s="3" t="str">
        <f t="shared" si="2"/>
        <v>January</v>
      </c>
      <c r="E14" s="13" t="s">
        <v>144</v>
      </c>
      <c r="F14" s="13" t="s">
        <v>281</v>
      </c>
      <c r="G14" s="13" t="s">
        <v>353</v>
      </c>
      <c r="H14" s="13" t="s">
        <v>356</v>
      </c>
      <c r="I14" s="14">
        <v>45716</v>
      </c>
      <c r="J14" s="13" t="s">
        <v>353</v>
      </c>
      <c r="K14" s="13">
        <v>0</v>
      </c>
      <c r="L14" s="14">
        <v>45674</v>
      </c>
      <c r="M14" s="14">
        <v>47135</v>
      </c>
      <c r="N14" s="13" t="s">
        <v>25</v>
      </c>
      <c r="O14" s="14">
        <v>45716</v>
      </c>
      <c r="P14" s="13" t="s">
        <v>356</v>
      </c>
      <c r="Q14" s="13" t="s">
        <v>26</v>
      </c>
      <c r="R14" s="14">
        <v>45716</v>
      </c>
      <c r="S14" s="13" t="s">
        <v>356</v>
      </c>
      <c r="T14" s="4" t="str">
        <f t="shared" ref="T14:T16" ca="1" si="3">IF(Q14="Discard","Discard",
IF(AND(M14&lt;&gt;"",M14&lt;TODAY()),"EXPIRED!",
IF(Q14&lt;&gt;"",Q14,
IF(O14&lt;&gt;"","Ready to Use",
IF(AND(I14&lt;&gt;"",O14=""),"Quarantine",
IF(AND(C14&lt;&gt;"",TODAY()-C14&gt;7),"Delayed",
IF(C14&lt;&gt;"","Ordered","No Data")))))))</f>
        <v>In Use</v>
      </c>
      <c r="U14" s="13" t="s">
        <v>330</v>
      </c>
      <c r="AL14" s="10"/>
      <c r="AO14" s="10"/>
      <c r="AX14" s="10"/>
      <c r="AY14" s="10"/>
    </row>
    <row r="15" spans="1:292" ht="54" customHeight="1" x14ac:dyDescent="0.2">
      <c r="B15" s="13" t="s">
        <v>356</v>
      </c>
      <c r="C15" s="14">
        <v>45665</v>
      </c>
      <c r="D15" s="3" t="str">
        <f t="shared" si="2"/>
        <v>January</v>
      </c>
      <c r="E15" s="13" t="s">
        <v>53</v>
      </c>
      <c r="F15" s="13" t="s">
        <v>277</v>
      </c>
      <c r="G15" s="13" t="s">
        <v>353</v>
      </c>
      <c r="H15" s="13" t="s">
        <v>355</v>
      </c>
      <c r="I15" s="14">
        <v>45666</v>
      </c>
      <c r="J15" s="13" t="s">
        <v>353</v>
      </c>
      <c r="K15" s="13">
        <v>6</v>
      </c>
      <c r="L15" s="14">
        <v>45541</v>
      </c>
      <c r="M15" s="14">
        <v>46600</v>
      </c>
      <c r="N15" s="13" t="s">
        <v>25</v>
      </c>
      <c r="O15" s="14">
        <v>45666</v>
      </c>
      <c r="P15" s="13" t="s">
        <v>357</v>
      </c>
      <c r="Q15" s="13" t="s">
        <v>26</v>
      </c>
      <c r="R15" s="14">
        <v>45681</v>
      </c>
      <c r="S15" s="13" t="s">
        <v>356</v>
      </c>
      <c r="T15" s="4" t="str">
        <f t="shared" ca="1" si="3"/>
        <v>In Use</v>
      </c>
      <c r="U15" s="13"/>
      <c r="AL15" s="10"/>
      <c r="AO15" s="10"/>
      <c r="AX15" s="10"/>
      <c r="AY15" s="10"/>
    </row>
    <row r="16" spans="1:292" ht="54" customHeight="1" x14ac:dyDescent="0.2">
      <c r="B16" s="13" t="s">
        <v>357</v>
      </c>
      <c r="C16" s="14">
        <v>45665</v>
      </c>
      <c r="D16" s="3" t="str">
        <f t="shared" si="2"/>
        <v>January</v>
      </c>
      <c r="E16" s="13" t="s">
        <v>143</v>
      </c>
      <c r="F16" s="13" t="s">
        <v>281</v>
      </c>
      <c r="G16" s="13" t="s">
        <v>353</v>
      </c>
      <c r="H16" s="13" t="s">
        <v>355</v>
      </c>
      <c r="I16" s="14">
        <v>45672</v>
      </c>
      <c r="J16" s="13" t="s">
        <v>353</v>
      </c>
      <c r="K16" s="13">
        <v>7</v>
      </c>
      <c r="L16" s="14">
        <v>45553</v>
      </c>
      <c r="M16" s="14">
        <v>47014</v>
      </c>
      <c r="N16" s="13" t="s">
        <v>25</v>
      </c>
      <c r="O16" s="14">
        <v>45672</v>
      </c>
      <c r="P16" s="13" t="s">
        <v>355</v>
      </c>
      <c r="Q16" s="13" t="s">
        <v>26</v>
      </c>
      <c r="R16" s="14">
        <v>45771</v>
      </c>
      <c r="S16" s="13" t="s">
        <v>356</v>
      </c>
      <c r="T16" s="4" t="str">
        <f t="shared" ca="1" si="3"/>
        <v>In Use</v>
      </c>
      <c r="U16" s="13"/>
      <c r="AL16" s="10"/>
      <c r="AO16" s="10"/>
      <c r="AX16" s="10"/>
      <c r="AY16" s="10"/>
    </row>
    <row r="17" spans="2:51" ht="54" customHeight="1" x14ac:dyDescent="0.2">
      <c r="B17" s="13"/>
      <c r="C17" s="14"/>
      <c r="D17" s="3"/>
      <c r="E17" s="13"/>
      <c r="F17" s="13"/>
      <c r="G17" s="13"/>
      <c r="H17" s="13"/>
      <c r="I17" s="14"/>
      <c r="J17" s="13"/>
      <c r="K17" s="13"/>
      <c r="L17" s="13"/>
      <c r="M17" s="14"/>
      <c r="N17" s="13"/>
      <c r="O17" s="14"/>
      <c r="P17" s="13"/>
      <c r="Q17" s="13"/>
      <c r="R17" s="14"/>
      <c r="S17" s="13"/>
      <c r="T17" s="4"/>
      <c r="U17" s="13"/>
      <c r="AL17" s="10"/>
      <c r="AO17" s="10"/>
      <c r="AX17" s="10"/>
      <c r="AY17" s="10"/>
    </row>
    <row r="18" spans="2:51" ht="54" customHeight="1" x14ac:dyDescent="0.2">
      <c r="B18" s="13"/>
      <c r="C18" s="14"/>
      <c r="D18" s="3"/>
      <c r="E18" s="13"/>
      <c r="F18" s="13"/>
      <c r="G18" s="13"/>
      <c r="H18" s="13"/>
      <c r="I18" s="14"/>
      <c r="J18" s="13"/>
      <c r="K18" s="13"/>
      <c r="L18" s="13"/>
      <c r="M18" s="13"/>
      <c r="N18" s="13"/>
      <c r="O18" s="14"/>
      <c r="P18" s="13"/>
      <c r="Q18" s="13"/>
      <c r="R18" s="14"/>
      <c r="S18" s="13"/>
      <c r="T18" s="4"/>
      <c r="U18" s="13"/>
      <c r="AL18" s="10"/>
      <c r="AO18" s="10"/>
      <c r="AX18" s="10"/>
      <c r="AY18" s="10"/>
    </row>
    <row r="19" spans="2:51" ht="54" customHeight="1" x14ac:dyDescent="0.2">
      <c r="B19" s="13"/>
      <c r="C19" s="14"/>
      <c r="D19" s="3"/>
      <c r="E19" s="13"/>
      <c r="F19" s="13"/>
      <c r="G19" s="13"/>
      <c r="H19" s="13"/>
      <c r="I19" s="14"/>
      <c r="J19" s="13"/>
      <c r="K19" s="13"/>
      <c r="L19" s="14"/>
      <c r="M19" s="14"/>
      <c r="N19" s="13"/>
      <c r="O19" s="14"/>
      <c r="P19" s="13"/>
      <c r="Q19" s="13"/>
      <c r="R19" s="14"/>
      <c r="S19" s="13"/>
      <c r="T19" s="4"/>
      <c r="U19" s="13"/>
      <c r="AL19" s="10"/>
      <c r="AO19" s="10"/>
      <c r="AX19" s="10"/>
      <c r="AY19" s="10"/>
    </row>
    <row r="20" spans="2:51" ht="54" customHeight="1" x14ac:dyDescent="0.2">
      <c r="B20" s="13"/>
      <c r="C20" s="14"/>
      <c r="D20" s="3"/>
      <c r="E20" s="13"/>
      <c r="F20" s="13"/>
      <c r="G20" s="13"/>
      <c r="H20" s="13"/>
      <c r="I20" s="13"/>
      <c r="J20" s="13"/>
      <c r="K20" s="13"/>
      <c r="L20" s="13"/>
      <c r="M20" s="14"/>
      <c r="N20" s="13"/>
      <c r="O20" s="14"/>
      <c r="P20" s="13"/>
      <c r="Q20" s="13"/>
      <c r="R20" s="14"/>
      <c r="S20" s="13"/>
      <c r="T20" s="4"/>
      <c r="U20" s="13"/>
      <c r="AL20" s="10"/>
      <c r="AO20" s="10"/>
      <c r="AX20" s="10"/>
      <c r="AY20" s="10"/>
    </row>
    <row r="21" spans="2:51" ht="54" customHeight="1" x14ac:dyDescent="0.2">
      <c r="B21" s="13"/>
      <c r="C21" s="14"/>
      <c r="D21" s="3"/>
      <c r="E21" s="13"/>
      <c r="F21" s="13"/>
      <c r="G21" s="13"/>
      <c r="H21" s="13"/>
      <c r="I21" s="14"/>
      <c r="J21" s="13"/>
      <c r="K21" s="13"/>
      <c r="L21" s="13"/>
      <c r="M21" s="14"/>
      <c r="N21" s="13"/>
      <c r="O21" s="14"/>
      <c r="P21" s="13"/>
      <c r="Q21" s="13"/>
      <c r="R21" s="14"/>
      <c r="S21" s="13"/>
      <c r="T21" s="4"/>
      <c r="U21" s="13"/>
      <c r="AL21" s="10"/>
      <c r="AO21" s="10"/>
      <c r="AX21" s="10"/>
    </row>
    <row r="22" spans="2:51" ht="54" customHeight="1" x14ac:dyDescent="0.2">
      <c r="B22" s="13"/>
      <c r="C22" s="14"/>
      <c r="D22" s="3"/>
      <c r="E22" s="13"/>
      <c r="F22" s="13"/>
      <c r="G22" s="13"/>
      <c r="H22" s="13"/>
      <c r="I22" s="14"/>
      <c r="J22" s="13"/>
      <c r="K22" s="13"/>
      <c r="L22" s="13"/>
      <c r="M22" s="14"/>
      <c r="N22" s="13"/>
      <c r="O22" s="14"/>
      <c r="P22" s="13"/>
      <c r="Q22" s="13"/>
      <c r="R22" s="14"/>
      <c r="S22" s="13"/>
      <c r="T22" s="4"/>
      <c r="U22" s="13"/>
      <c r="AL22" s="10"/>
      <c r="AO22" s="10"/>
      <c r="AY22" s="5"/>
    </row>
    <row r="23" spans="2:51" ht="54" customHeight="1" x14ac:dyDescent="0.2">
      <c r="B23" s="13"/>
      <c r="C23" s="14"/>
      <c r="D23" s="3"/>
      <c r="E23" s="13"/>
      <c r="F23" s="13"/>
      <c r="G23" s="13"/>
      <c r="H23" s="13"/>
      <c r="I23" s="14"/>
      <c r="J23" s="13"/>
      <c r="K23" s="13"/>
      <c r="L23" s="13"/>
      <c r="M23" s="14"/>
      <c r="N23" s="13"/>
      <c r="O23" s="14"/>
      <c r="P23" s="13"/>
      <c r="Q23" s="13"/>
      <c r="R23" s="14"/>
      <c r="S23" s="13"/>
      <c r="T23" s="4"/>
      <c r="U23" s="13" t="s">
        <v>331</v>
      </c>
      <c r="AL23" s="10"/>
      <c r="AO23" s="10"/>
      <c r="AX23" s="5"/>
      <c r="AY23" s="10"/>
    </row>
    <row r="24" spans="2:51" ht="54" customHeight="1" x14ac:dyDescent="0.2">
      <c r="B24" s="13"/>
      <c r="C24" s="14"/>
      <c r="D24" s="3"/>
      <c r="E24" s="13"/>
      <c r="F24" s="13"/>
      <c r="G24" s="13"/>
      <c r="H24" s="13"/>
      <c r="I24" s="14"/>
      <c r="J24" s="13"/>
      <c r="K24" s="13"/>
      <c r="L24" s="14"/>
      <c r="M24" s="14"/>
      <c r="N24" s="13"/>
      <c r="O24" s="14"/>
      <c r="P24" s="13"/>
      <c r="Q24" s="13"/>
      <c r="R24" s="14"/>
      <c r="S24" s="13"/>
      <c r="T24" s="4"/>
      <c r="U24" s="13"/>
      <c r="AL24" s="10"/>
      <c r="AX24" s="10"/>
      <c r="AY24" s="10"/>
    </row>
    <row r="25" spans="2:51" ht="54" customHeight="1" x14ac:dyDescent="0.2">
      <c r="B25" s="13"/>
      <c r="C25" s="14"/>
      <c r="D25" s="3"/>
      <c r="E25" s="13"/>
      <c r="F25" s="13"/>
      <c r="G25" s="13"/>
      <c r="H25" s="13"/>
      <c r="I25" s="14"/>
      <c r="J25" s="13"/>
      <c r="K25" s="13"/>
      <c r="L25" s="14"/>
      <c r="M25" s="14"/>
      <c r="N25" s="13"/>
      <c r="O25" s="14"/>
      <c r="P25" s="13"/>
      <c r="Q25" s="13"/>
      <c r="R25" s="14"/>
      <c r="S25" s="13"/>
      <c r="T25" s="4"/>
      <c r="U25" s="13"/>
      <c r="AL25" s="10"/>
      <c r="AO25" s="5"/>
      <c r="AX25" s="10"/>
      <c r="AY25" s="10"/>
    </row>
    <row r="26" spans="2:51" ht="54" customHeight="1" x14ac:dyDescent="0.2">
      <c r="B26" s="13"/>
      <c r="C26" s="14"/>
      <c r="D26" s="3"/>
      <c r="E26" s="13"/>
      <c r="F26" s="13"/>
      <c r="G26" s="13"/>
      <c r="H26" s="13"/>
      <c r="I26" s="14"/>
      <c r="J26" s="13"/>
      <c r="K26" s="13"/>
      <c r="L26" s="13"/>
      <c r="M26" s="14"/>
      <c r="N26" s="13"/>
      <c r="O26" s="14"/>
      <c r="P26" s="13"/>
      <c r="Q26" s="13"/>
      <c r="R26" s="14"/>
      <c r="S26" s="13"/>
      <c r="T26" s="4"/>
      <c r="U26" s="13"/>
      <c r="AL26" s="10"/>
      <c r="AO26" s="10"/>
      <c r="AX26" s="10"/>
      <c r="AY26" s="10"/>
    </row>
    <row r="27" spans="2:51" ht="54" customHeight="1" x14ac:dyDescent="0.2">
      <c r="B27" s="13"/>
      <c r="C27" s="14"/>
      <c r="D27" s="3"/>
      <c r="E27" s="13"/>
      <c r="F27" s="13"/>
      <c r="G27" s="13"/>
      <c r="H27" s="13"/>
      <c r="I27" s="14"/>
      <c r="J27" s="13"/>
      <c r="K27" s="13"/>
      <c r="L27" s="14"/>
      <c r="M27" s="14"/>
      <c r="N27" s="13"/>
      <c r="O27" s="14"/>
      <c r="P27" s="13"/>
      <c r="Q27" s="13"/>
      <c r="R27" s="14"/>
      <c r="S27" s="13"/>
      <c r="T27" s="4"/>
      <c r="U27" s="13"/>
      <c r="AO27" s="10"/>
      <c r="AX27" s="10"/>
      <c r="AY27" s="10"/>
    </row>
    <row r="28" spans="2:51" ht="54" customHeight="1" x14ac:dyDescent="0.2">
      <c r="B28" s="13"/>
      <c r="C28" s="14"/>
      <c r="D28" s="3"/>
      <c r="E28" s="13"/>
      <c r="F28" s="13"/>
      <c r="G28" s="13"/>
      <c r="H28" s="13"/>
      <c r="I28" s="14"/>
      <c r="J28" s="13"/>
      <c r="K28" s="13"/>
      <c r="L28" s="13"/>
      <c r="M28" s="14"/>
      <c r="N28" s="13"/>
      <c r="O28" s="14"/>
      <c r="P28" s="13"/>
      <c r="Q28" s="13"/>
      <c r="R28" s="14"/>
      <c r="S28" s="13"/>
      <c r="T28" s="4"/>
      <c r="U28" s="13"/>
      <c r="AO28" s="10"/>
      <c r="AX28" s="10"/>
      <c r="AY28" s="10"/>
    </row>
    <row r="29" spans="2:51" ht="54" customHeight="1" x14ac:dyDescent="0.2">
      <c r="B29" s="13"/>
      <c r="C29" s="14"/>
      <c r="D29" s="3"/>
      <c r="E29" s="13"/>
      <c r="F29" s="13"/>
      <c r="G29" s="13"/>
      <c r="H29" s="13"/>
      <c r="I29" s="14"/>
      <c r="J29" s="13"/>
      <c r="K29" s="13"/>
      <c r="L29" s="13"/>
      <c r="M29" s="14"/>
      <c r="N29" s="13"/>
      <c r="O29" s="14"/>
      <c r="P29" s="13"/>
      <c r="Q29" s="13"/>
      <c r="R29" s="14"/>
      <c r="S29" s="13"/>
      <c r="T29" s="4"/>
      <c r="U29" s="13"/>
      <c r="AO29" s="10"/>
      <c r="AX29" s="10"/>
      <c r="AY29" s="10"/>
    </row>
    <row r="30" spans="2:51" ht="54" customHeight="1" x14ac:dyDescent="0.2">
      <c r="B30" s="13"/>
      <c r="C30" s="14"/>
      <c r="D30" s="3"/>
      <c r="E30" s="13"/>
      <c r="F30" s="13"/>
      <c r="G30" s="13"/>
      <c r="H30" s="13"/>
      <c r="I30" s="14"/>
      <c r="J30" s="13"/>
      <c r="K30" s="13"/>
      <c r="L30" s="13"/>
      <c r="M30" s="14"/>
      <c r="N30" s="13"/>
      <c r="O30" s="14"/>
      <c r="P30" s="13"/>
      <c r="Q30" s="13"/>
      <c r="R30" s="14"/>
      <c r="S30" s="13"/>
      <c r="T30" s="4"/>
      <c r="U30" s="13"/>
      <c r="AO30" s="10"/>
      <c r="AX30" s="10"/>
      <c r="AY30" s="10"/>
    </row>
    <row r="31" spans="2:51" ht="54" customHeight="1" x14ac:dyDescent="0.2">
      <c r="B31" s="13"/>
      <c r="C31" s="14"/>
      <c r="D31" s="3"/>
      <c r="E31" s="13"/>
      <c r="F31" s="13"/>
      <c r="G31" s="13"/>
      <c r="H31" s="13"/>
      <c r="I31" s="14"/>
      <c r="J31" s="13"/>
      <c r="K31" s="13"/>
      <c r="L31" s="13"/>
      <c r="M31" s="14"/>
      <c r="N31" s="13"/>
      <c r="O31" s="14"/>
      <c r="P31" s="13"/>
      <c r="Q31" s="13"/>
      <c r="R31" s="14"/>
      <c r="S31" s="13"/>
      <c r="T31" s="4"/>
      <c r="U31" s="13"/>
      <c r="AO31" s="10"/>
      <c r="AX31" s="10"/>
      <c r="AY31" s="10"/>
    </row>
    <row r="32" spans="2:51" ht="54" customHeight="1" x14ac:dyDescent="0.2">
      <c r="B32" s="13"/>
      <c r="C32" s="14"/>
      <c r="D32" s="3"/>
      <c r="E32" s="13"/>
      <c r="F32" s="13"/>
      <c r="G32" s="13"/>
      <c r="H32" s="13"/>
      <c r="I32" s="14"/>
      <c r="J32" s="13"/>
      <c r="K32" s="13"/>
      <c r="L32" s="13"/>
      <c r="M32" s="14"/>
      <c r="N32" s="13"/>
      <c r="O32" s="14"/>
      <c r="P32" s="13"/>
      <c r="Q32" s="13"/>
      <c r="R32" s="14"/>
      <c r="S32" s="13"/>
      <c r="T32" s="4"/>
      <c r="U32" s="13"/>
      <c r="AO32" s="10"/>
      <c r="AX32" s="10"/>
      <c r="AY32" s="10"/>
    </row>
    <row r="33" spans="2:51" ht="54" customHeight="1" x14ac:dyDescent="0.2">
      <c r="B33" s="13"/>
      <c r="C33" s="14"/>
      <c r="D33" s="3"/>
      <c r="E33" s="13"/>
      <c r="F33" s="13"/>
      <c r="G33" s="13"/>
      <c r="H33" s="13"/>
      <c r="I33" s="14"/>
      <c r="J33" s="13"/>
      <c r="K33" s="13"/>
      <c r="L33" s="13"/>
      <c r="M33" s="14"/>
      <c r="N33" s="13"/>
      <c r="O33" s="14"/>
      <c r="P33" s="13"/>
      <c r="Q33" s="13"/>
      <c r="R33" s="14"/>
      <c r="S33" s="13"/>
      <c r="T33" s="4"/>
      <c r="U33" s="13"/>
      <c r="AO33" s="10"/>
      <c r="AX33" s="10"/>
      <c r="AY33" s="10"/>
    </row>
    <row r="34" spans="2:51" ht="54" customHeight="1" x14ac:dyDescent="0.2">
      <c r="B34" s="13"/>
      <c r="C34" s="14"/>
      <c r="D34" s="3"/>
      <c r="E34" s="13"/>
      <c r="F34" s="13"/>
      <c r="G34" s="13"/>
      <c r="H34" s="13"/>
      <c r="I34" s="14"/>
      <c r="J34" s="13"/>
      <c r="K34" s="13"/>
      <c r="L34" s="13"/>
      <c r="M34" s="13"/>
      <c r="N34" s="13"/>
      <c r="O34" s="14"/>
      <c r="P34" s="13"/>
      <c r="Q34" s="13"/>
      <c r="R34" s="14"/>
      <c r="S34" s="13"/>
      <c r="T34" s="4"/>
      <c r="U34" s="13"/>
      <c r="AO34" s="10"/>
      <c r="AX34" s="10"/>
      <c r="AY34" s="10"/>
    </row>
    <row r="35" spans="2:51" ht="54" customHeight="1" x14ac:dyDescent="0.2">
      <c r="B35" s="13"/>
      <c r="C35" s="14"/>
      <c r="D35" s="3"/>
      <c r="E35" s="13"/>
      <c r="F35" s="13"/>
      <c r="G35" s="13"/>
      <c r="H35" s="13"/>
      <c r="I35" s="14"/>
      <c r="J35" s="13"/>
      <c r="K35" s="13"/>
      <c r="L35" s="13"/>
      <c r="M35" s="13"/>
      <c r="N35" s="13"/>
      <c r="O35" s="14"/>
      <c r="P35" s="13"/>
      <c r="Q35" s="13"/>
      <c r="R35" s="14"/>
      <c r="S35" s="13"/>
      <c r="T35" s="4"/>
      <c r="U35" s="13"/>
      <c r="AO35" s="10"/>
      <c r="AX35" s="10"/>
      <c r="AY35" s="10"/>
    </row>
    <row r="36" spans="2:51" ht="54" customHeight="1" x14ac:dyDescent="0.2">
      <c r="B36" s="13"/>
      <c r="C36" s="14"/>
      <c r="D36" s="3"/>
      <c r="E36" s="13"/>
      <c r="F36" s="13"/>
      <c r="G36" s="13"/>
      <c r="H36" s="13"/>
      <c r="I36" s="14"/>
      <c r="J36" s="13"/>
      <c r="K36" s="13"/>
      <c r="L36" s="13"/>
      <c r="M36" s="14"/>
      <c r="N36" s="13"/>
      <c r="O36" s="14"/>
      <c r="P36" s="13"/>
      <c r="Q36" s="13"/>
      <c r="R36" s="14"/>
      <c r="S36" s="13"/>
      <c r="T36" s="4"/>
      <c r="U36" s="13"/>
      <c r="AO36" s="10"/>
      <c r="AX36" s="10"/>
      <c r="AY36" s="10"/>
    </row>
    <row r="37" spans="2:51" ht="54" customHeight="1" x14ac:dyDescent="0.2">
      <c r="B37" s="13"/>
      <c r="C37" s="14"/>
      <c r="D37" s="3"/>
      <c r="E37" s="13"/>
      <c r="F37" s="13"/>
      <c r="G37" s="13"/>
      <c r="H37" s="13"/>
      <c r="I37" s="14"/>
      <c r="J37" s="13"/>
      <c r="K37" s="13"/>
      <c r="L37" s="14"/>
      <c r="M37" s="14"/>
      <c r="N37" s="13"/>
      <c r="O37" s="14"/>
      <c r="P37" s="13"/>
      <c r="Q37" s="13"/>
      <c r="R37" s="14"/>
      <c r="S37" s="13"/>
      <c r="T37" s="4"/>
      <c r="U37" s="13"/>
      <c r="AO37" s="10"/>
      <c r="AX37" s="10"/>
      <c r="AY37" s="10"/>
    </row>
    <row r="38" spans="2:51" ht="54" customHeight="1" x14ac:dyDescent="0.2">
      <c r="B38" s="13"/>
      <c r="C38" s="14"/>
      <c r="D38" s="3"/>
      <c r="E38" s="13"/>
      <c r="F38" s="13"/>
      <c r="G38" s="13"/>
      <c r="H38" s="13"/>
      <c r="I38" s="14"/>
      <c r="J38" s="13"/>
      <c r="K38" s="13"/>
      <c r="L38" s="13"/>
      <c r="M38" s="14"/>
      <c r="N38" s="13"/>
      <c r="O38" s="14"/>
      <c r="P38" s="13"/>
      <c r="Q38" s="13"/>
      <c r="R38" s="14"/>
      <c r="S38" s="13"/>
      <c r="T38" s="4"/>
      <c r="U38" s="13"/>
      <c r="AO38" s="10"/>
      <c r="AX38" s="10"/>
      <c r="AY38" s="10"/>
    </row>
    <row r="39" spans="2:51" ht="54" customHeight="1" x14ac:dyDescent="0.2">
      <c r="B39" s="13"/>
      <c r="C39" s="14"/>
      <c r="D39" s="3"/>
      <c r="E39" s="13"/>
      <c r="F39" s="13"/>
      <c r="G39" s="13"/>
      <c r="H39" s="13"/>
      <c r="I39" s="14"/>
      <c r="J39" s="13"/>
      <c r="K39" s="13"/>
      <c r="L39" s="14"/>
      <c r="M39" s="14"/>
      <c r="N39" s="13"/>
      <c r="O39" s="14"/>
      <c r="P39" s="13"/>
      <c r="Q39" s="13"/>
      <c r="R39" s="14"/>
      <c r="S39" s="13"/>
      <c r="T39" s="4"/>
      <c r="U39" s="13"/>
      <c r="AO39" s="10"/>
      <c r="AX39" s="10"/>
      <c r="AY39" s="10"/>
    </row>
    <row r="40" spans="2:51" ht="54" customHeight="1" x14ac:dyDescent="0.2">
      <c r="B40" s="13"/>
      <c r="C40" s="14"/>
      <c r="D40" s="3"/>
      <c r="E40" s="13"/>
      <c r="F40" s="13"/>
      <c r="G40" s="13"/>
      <c r="H40" s="13"/>
      <c r="I40" s="14"/>
      <c r="J40" s="13"/>
      <c r="K40" s="13"/>
      <c r="L40" s="14"/>
      <c r="M40" s="14"/>
      <c r="N40" s="13"/>
      <c r="O40" s="14"/>
      <c r="P40" s="13"/>
      <c r="Q40" s="13"/>
      <c r="R40" s="14"/>
      <c r="S40" s="13"/>
      <c r="T40" s="4"/>
      <c r="U40" s="13"/>
      <c r="AO40" s="10"/>
      <c r="AX40" s="10"/>
    </row>
    <row r="41" spans="2:51" ht="54" customHeight="1" x14ac:dyDescent="0.2">
      <c r="B41" s="13"/>
      <c r="C41" s="14"/>
      <c r="D41" s="3"/>
      <c r="E41" s="13"/>
      <c r="F41" s="13"/>
      <c r="G41" s="13"/>
      <c r="H41" s="13"/>
      <c r="I41" s="14"/>
      <c r="J41" s="13"/>
      <c r="K41" s="13"/>
      <c r="L41" s="13"/>
      <c r="M41" s="14"/>
      <c r="N41" s="13"/>
      <c r="O41" s="14"/>
      <c r="P41" s="13"/>
      <c r="Q41" s="13"/>
      <c r="R41" s="14"/>
      <c r="S41" s="13"/>
      <c r="T41" s="4"/>
      <c r="U41" s="13"/>
      <c r="AO41" s="10"/>
      <c r="AY41" s="5"/>
    </row>
    <row r="42" spans="2:51" ht="54" customHeight="1" x14ac:dyDescent="0.2">
      <c r="B42" s="13"/>
      <c r="C42" s="14"/>
      <c r="D42" s="3"/>
      <c r="E42" s="13"/>
      <c r="F42" s="13"/>
      <c r="G42" s="13"/>
      <c r="H42" s="13"/>
      <c r="I42" s="14"/>
      <c r="J42" s="13"/>
      <c r="K42" s="13"/>
      <c r="L42" s="13"/>
      <c r="M42" s="14"/>
      <c r="N42" s="13"/>
      <c r="O42" s="14"/>
      <c r="P42" s="13"/>
      <c r="Q42" s="13"/>
      <c r="R42" s="14"/>
      <c r="S42" s="13"/>
      <c r="T42" s="4"/>
      <c r="U42" s="13" t="s">
        <v>334</v>
      </c>
      <c r="AO42" s="10"/>
      <c r="AX42" s="5"/>
      <c r="AY42" s="10"/>
    </row>
    <row r="43" spans="2:51" ht="54" customHeight="1" x14ac:dyDescent="0.2">
      <c r="B43" s="13"/>
      <c r="C43" s="14"/>
      <c r="D43" s="3"/>
      <c r="E43" s="13"/>
      <c r="F43" s="13"/>
      <c r="G43" s="13"/>
      <c r="H43" s="13"/>
      <c r="I43" s="14"/>
      <c r="J43" s="13"/>
      <c r="K43" s="13"/>
      <c r="L43" s="13"/>
      <c r="M43" s="14"/>
      <c r="N43" s="13"/>
      <c r="O43" s="14"/>
      <c r="P43" s="13"/>
      <c r="Q43" s="13"/>
      <c r="R43" s="14"/>
      <c r="S43" s="13"/>
      <c r="T43" s="4"/>
      <c r="U43" s="13" t="s">
        <v>334</v>
      </c>
      <c r="AX43" s="10"/>
      <c r="AY43" s="10"/>
    </row>
    <row r="44" spans="2:51" ht="54" customHeight="1" x14ac:dyDescent="0.2">
      <c r="B44" s="13"/>
      <c r="C44" s="14"/>
      <c r="D44" s="3"/>
      <c r="E44" s="13"/>
      <c r="F44" s="13"/>
      <c r="G44" s="13"/>
      <c r="H44" s="13"/>
      <c r="I44" s="14"/>
      <c r="J44" s="13"/>
      <c r="K44" s="13"/>
      <c r="L44" s="13"/>
      <c r="M44" s="13"/>
      <c r="N44" s="13"/>
      <c r="O44" s="14"/>
      <c r="P44" s="13"/>
      <c r="Q44" s="13"/>
      <c r="R44" s="14"/>
      <c r="S44" s="13"/>
      <c r="T44" s="4"/>
      <c r="U44" s="13"/>
      <c r="AO44" s="5"/>
      <c r="AX44" s="10"/>
      <c r="AY44" s="10"/>
    </row>
    <row r="45" spans="2:51" ht="54" customHeight="1" x14ac:dyDescent="0.2">
      <c r="B45" s="13"/>
      <c r="C45" s="14"/>
      <c r="D45" s="3"/>
      <c r="E45" s="13"/>
      <c r="F45" s="13"/>
      <c r="G45" s="13"/>
      <c r="H45" s="13"/>
      <c r="I45" s="13"/>
      <c r="J45" s="13"/>
      <c r="K45" s="13"/>
      <c r="L45" s="13"/>
      <c r="M45" s="13"/>
      <c r="N45" s="13"/>
      <c r="O45" s="14"/>
      <c r="P45" s="13"/>
      <c r="Q45" s="13"/>
      <c r="R45" s="14"/>
      <c r="S45" s="13"/>
      <c r="T45" s="4"/>
      <c r="U45" s="13"/>
      <c r="AO45" s="10"/>
      <c r="AX45" s="10"/>
      <c r="AY45" s="10"/>
    </row>
    <row r="46" spans="2:51" ht="54" customHeight="1" x14ac:dyDescent="0.2">
      <c r="B46" s="13"/>
      <c r="C46" s="14"/>
      <c r="D46" s="3"/>
      <c r="E46" s="13"/>
      <c r="F46" s="13"/>
      <c r="G46" s="13"/>
      <c r="H46" s="13"/>
      <c r="I46" s="14"/>
      <c r="J46" s="13"/>
      <c r="K46" s="13"/>
      <c r="L46" s="13"/>
      <c r="M46" s="14"/>
      <c r="N46" s="13"/>
      <c r="O46" s="14"/>
      <c r="P46" s="13"/>
      <c r="Q46" s="13"/>
      <c r="R46" s="14"/>
      <c r="S46" s="13"/>
      <c r="T46" s="4"/>
      <c r="U46" s="13"/>
      <c r="AO46" s="10"/>
      <c r="AX46" s="10"/>
      <c r="AY46" s="10"/>
    </row>
    <row r="47" spans="2:51" ht="54" customHeight="1" x14ac:dyDescent="0.2">
      <c r="B47" s="13"/>
      <c r="C47" s="14"/>
      <c r="D47" s="3"/>
      <c r="E47" s="13"/>
      <c r="F47" s="13"/>
      <c r="G47" s="13"/>
      <c r="H47" s="13"/>
      <c r="I47" s="14"/>
      <c r="J47" s="13"/>
      <c r="K47" s="13"/>
      <c r="L47" s="13"/>
      <c r="M47" s="13"/>
      <c r="N47" s="13"/>
      <c r="O47" s="14"/>
      <c r="P47" s="13"/>
      <c r="Q47" s="13"/>
      <c r="R47" s="14"/>
      <c r="S47" s="13"/>
      <c r="T47" s="4"/>
      <c r="U47" s="13"/>
      <c r="AO47" s="10"/>
      <c r="AX47" s="10"/>
    </row>
    <row r="48" spans="2:51" ht="54" customHeight="1" x14ac:dyDescent="0.2">
      <c r="B48" s="13"/>
      <c r="C48" s="14"/>
      <c r="D48" s="3"/>
      <c r="E48" s="13"/>
      <c r="F48" s="13"/>
      <c r="G48" s="13"/>
      <c r="H48" s="13"/>
      <c r="I48" s="14"/>
      <c r="J48" s="13"/>
      <c r="K48" s="13"/>
      <c r="L48" s="13"/>
      <c r="M48" s="13"/>
      <c r="N48" s="13"/>
      <c r="O48" s="14"/>
      <c r="P48" s="13"/>
      <c r="Q48" s="13"/>
      <c r="R48" s="14"/>
      <c r="S48" s="13"/>
      <c r="T48" s="4"/>
      <c r="U48" s="13"/>
      <c r="AO48" s="10"/>
      <c r="AX48" s="10"/>
    </row>
    <row r="49" spans="2:51" ht="54" customHeight="1" x14ac:dyDescent="0.2">
      <c r="B49" s="13"/>
      <c r="C49" s="14"/>
      <c r="D49" s="3"/>
      <c r="E49" s="13"/>
      <c r="F49" s="13"/>
      <c r="G49" s="13"/>
      <c r="H49" s="13"/>
      <c r="I49" s="14"/>
      <c r="J49" s="13"/>
      <c r="K49" s="13"/>
      <c r="L49" s="13"/>
      <c r="M49" s="14"/>
      <c r="N49" s="13"/>
      <c r="O49" s="14"/>
      <c r="P49" s="13"/>
      <c r="Q49" s="13"/>
      <c r="R49" s="14"/>
      <c r="S49" s="13"/>
      <c r="T49" s="4"/>
      <c r="U49" s="13"/>
      <c r="AO49" s="10"/>
      <c r="AY49" s="5"/>
    </row>
    <row r="50" spans="2:51" ht="54" customHeight="1" x14ac:dyDescent="0.2">
      <c r="B50" s="13"/>
      <c r="C50" s="14"/>
      <c r="D50" s="3"/>
      <c r="E50" s="13"/>
      <c r="F50" s="13"/>
      <c r="G50" s="13"/>
      <c r="H50" s="13"/>
      <c r="I50" s="14"/>
      <c r="J50" s="13"/>
      <c r="K50" s="13"/>
      <c r="L50" s="13"/>
      <c r="M50" s="14"/>
      <c r="N50" s="13"/>
      <c r="O50" s="14"/>
      <c r="P50" s="13"/>
      <c r="Q50" s="13"/>
      <c r="R50" s="14"/>
      <c r="S50" s="13"/>
      <c r="T50" s="4"/>
      <c r="U50" s="13"/>
      <c r="AO50" s="10"/>
      <c r="AX50" s="5"/>
      <c r="AY50" s="10"/>
    </row>
    <row r="51" spans="2:51" ht="54" customHeight="1" x14ac:dyDescent="0.2">
      <c r="B51" s="13"/>
      <c r="C51" s="14"/>
      <c r="D51" s="3"/>
      <c r="E51" s="13"/>
      <c r="F51" s="13"/>
      <c r="G51" s="13"/>
      <c r="H51" s="13"/>
      <c r="I51" s="14"/>
      <c r="J51" s="13"/>
      <c r="K51" s="13"/>
      <c r="L51" s="13"/>
      <c r="M51" s="14"/>
      <c r="N51" s="13"/>
      <c r="O51" s="14"/>
      <c r="P51" s="13"/>
      <c r="Q51" s="13"/>
      <c r="R51" s="14"/>
      <c r="S51" s="13"/>
      <c r="T51" s="4"/>
      <c r="U51" s="13"/>
      <c r="AX51" s="10"/>
      <c r="AY51" s="10"/>
    </row>
    <row r="52" spans="2:51" ht="54" customHeight="1" x14ac:dyDescent="0.2">
      <c r="B52" s="13"/>
      <c r="C52" s="14"/>
      <c r="D52" s="3"/>
      <c r="E52" s="13"/>
      <c r="F52" s="13"/>
      <c r="G52" s="13"/>
      <c r="H52" s="13"/>
      <c r="I52" s="14"/>
      <c r="J52" s="13"/>
      <c r="K52" s="13"/>
      <c r="L52" s="13"/>
      <c r="M52" s="14"/>
      <c r="N52" s="13"/>
      <c r="O52" s="14"/>
      <c r="P52" s="13"/>
      <c r="Q52" s="13"/>
      <c r="R52" s="14"/>
      <c r="S52" s="13"/>
      <c r="T52" s="4"/>
      <c r="U52" s="13" t="s">
        <v>334</v>
      </c>
      <c r="AO52" s="5"/>
      <c r="AX52" s="10"/>
      <c r="AY52" s="10"/>
    </row>
    <row r="53" spans="2:51" ht="54" customHeight="1" x14ac:dyDescent="0.2">
      <c r="B53" s="13"/>
      <c r="C53" s="14"/>
      <c r="D53" s="3"/>
      <c r="E53" s="13"/>
      <c r="F53" s="13"/>
      <c r="G53" s="13"/>
      <c r="H53" s="13"/>
      <c r="I53" s="14"/>
      <c r="J53" s="13"/>
      <c r="K53" s="13"/>
      <c r="L53" s="13"/>
      <c r="M53" s="14"/>
      <c r="N53" s="13"/>
      <c r="O53" s="14"/>
      <c r="P53" s="13"/>
      <c r="Q53" s="13"/>
      <c r="R53" s="14"/>
      <c r="S53" s="13"/>
      <c r="T53" s="4"/>
      <c r="U53" s="13" t="s">
        <v>334</v>
      </c>
      <c r="AO53" s="10"/>
      <c r="AX53" s="10"/>
      <c r="AY53" s="10"/>
    </row>
    <row r="54" spans="2:51" ht="54" customHeight="1" x14ac:dyDescent="0.2">
      <c r="B54" s="13"/>
      <c r="C54" s="14"/>
      <c r="D54" s="3"/>
      <c r="E54" s="13"/>
      <c r="F54" s="13"/>
      <c r="G54" s="13"/>
      <c r="H54" s="13"/>
      <c r="I54" s="14"/>
      <c r="J54" s="13"/>
      <c r="K54" s="13"/>
      <c r="L54" s="14"/>
      <c r="M54" s="14"/>
      <c r="N54" s="13"/>
      <c r="O54" s="14"/>
      <c r="P54" s="13"/>
      <c r="Q54" s="13"/>
      <c r="R54" s="14"/>
      <c r="S54" s="13"/>
      <c r="T54" s="4"/>
      <c r="U54" s="13"/>
      <c r="AO54" s="10"/>
      <c r="AX54" s="10"/>
      <c r="AY54" s="10"/>
    </row>
    <row r="55" spans="2:51" ht="54" customHeight="1" x14ac:dyDescent="0.2">
      <c r="B55" s="13"/>
      <c r="C55" s="14"/>
      <c r="D55" s="3"/>
      <c r="E55" s="13"/>
      <c r="F55" s="13"/>
      <c r="G55" s="13"/>
      <c r="H55" s="13"/>
      <c r="I55" s="14"/>
      <c r="J55" s="13"/>
      <c r="K55" s="13"/>
      <c r="L55" s="14"/>
      <c r="M55" s="14"/>
      <c r="N55" s="13"/>
      <c r="O55" s="14"/>
      <c r="P55" s="13"/>
      <c r="Q55" s="13"/>
      <c r="R55" s="14"/>
      <c r="S55" s="13"/>
      <c r="T55" s="4"/>
      <c r="U55" s="13" t="s">
        <v>334</v>
      </c>
      <c r="AO55" s="10"/>
      <c r="AX55" s="10"/>
      <c r="AY55" s="10"/>
    </row>
    <row r="56" spans="2:51" ht="54" customHeight="1" x14ac:dyDescent="0.2">
      <c r="B56" s="13"/>
      <c r="C56" s="14"/>
      <c r="D56" s="3"/>
      <c r="E56" s="13"/>
      <c r="F56" s="13"/>
      <c r="G56" s="13"/>
      <c r="H56" s="13"/>
      <c r="I56" s="13"/>
      <c r="J56" s="13"/>
      <c r="K56" s="13"/>
      <c r="L56" s="13"/>
      <c r="M56" s="13"/>
      <c r="N56" s="13"/>
      <c r="O56" s="14"/>
      <c r="P56" s="13"/>
      <c r="Q56" s="13"/>
      <c r="R56" s="14"/>
      <c r="S56" s="13"/>
      <c r="T56" s="4"/>
      <c r="U56" s="13" t="s">
        <v>336</v>
      </c>
      <c r="AO56" s="10"/>
      <c r="AX56" s="10"/>
      <c r="AY56" s="10"/>
    </row>
    <row r="57" spans="2:51" ht="54" customHeight="1" x14ac:dyDescent="0.2">
      <c r="B57" s="13"/>
      <c r="C57" s="14"/>
      <c r="D57" s="3"/>
      <c r="E57" s="13"/>
      <c r="F57" s="13"/>
      <c r="G57" s="13"/>
      <c r="H57" s="13"/>
      <c r="I57" s="14"/>
      <c r="J57" s="13"/>
      <c r="K57" s="13"/>
      <c r="L57" s="13"/>
      <c r="M57" s="14"/>
      <c r="N57" s="13"/>
      <c r="O57" s="14"/>
      <c r="P57" s="13"/>
      <c r="Q57" s="13"/>
      <c r="R57" s="14"/>
      <c r="S57" s="13"/>
      <c r="T57" s="4"/>
      <c r="U57" s="13"/>
      <c r="AO57" s="10"/>
      <c r="AX57" s="10"/>
      <c r="AY57" s="10"/>
    </row>
    <row r="58" spans="2:51" ht="54" customHeight="1" x14ac:dyDescent="0.2">
      <c r="B58" s="13"/>
      <c r="C58" s="14"/>
      <c r="D58" s="3"/>
      <c r="E58" s="13"/>
      <c r="F58" s="13"/>
      <c r="G58" s="13"/>
      <c r="H58" s="13"/>
      <c r="I58" s="14"/>
      <c r="J58" s="13"/>
      <c r="K58" s="13"/>
      <c r="L58" s="13"/>
      <c r="M58" s="13"/>
      <c r="N58" s="13"/>
      <c r="O58" s="14"/>
      <c r="P58" s="13"/>
      <c r="Q58" s="13"/>
      <c r="R58" s="14"/>
      <c r="S58" s="13"/>
      <c r="T58" s="4"/>
      <c r="U58" s="13" t="s">
        <v>334</v>
      </c>
      <c r="AO58" s="10"/>
      <c r="AX58" s="10"/>
      <c r="AY58" s="10"/>
    </row>
    <row r="59" spans="2:51" ht="54" customHeight="1" x14ac:dyDescent="0.2">
      <c r="B59" s="13"/>
      <c r="C59" s="14"/>
      <c r="D59" s="3"/>
      <c r="E59" s="13"/>
      <c r="F59" s="13"/>
      <c r="G59" s="13"/>
      <c r="H59" s="13"/>
      <c r="I59" s="14"/>
      <c r="J59" s="13"/>
      <c r="K59" s="13"/>
      <c r="L59" s="14"/>
      <c r="M59" s="14"/>
      <c r="N59" s="13"/>
      <c r="O59" s="14"/>
      <c r="P59" s="13"/>
      <c r="Q59" s="13"/>
      <c r="R59" s="14"/>
      <c r="S59" s="13"/>
      <c r="T59" s="4"/>
      <c r="U59" s="13"/>
      <c r="AO59" s="10"/>
      <c r="AX59" s="10"/>
      <c r="AY59" s="10"/>
    </row>
    <row r="60" spans="2:51" ht="54" customHeight="1" x14ac:dyDescent="0.2">
      <c r="B60" s="13"/>
      <c r="C60" s="14"/>
      <c r="D60" s="3"/>
      <c r="E60" s="13"/>
      <c r="F60" s="13"/>
      <c r="G60" s="13"/>
      <c r="H60" s="13"/>
      <c r="I60" s="14"/>
      <c r="J60" s="13"/>
      <c r="K60" s="13"/>
      <c r="L60" s="13"/>
      <c r="M60" s="13"/>
      <c r="N60" s="13"/>
      <c r="O60" s="14"/>
      <c r="P60" s="13"/>
      <c r="Q60" s="13"/>
      <c r="R60" s="14"/>
      <c r="S60" s="13"/>
      <c r="T60" s="4"/>
      <c r="U60" s="13"/>
      <c r="AO60" s="10"/>
      <c r="AX60" s="10"/>
      <c r="AY60" s="10"/>
    </row>
    <row r="61" spans="2:51" ht="54" customHeight="1" x14ac:dyDescent="0.2">
      <c r="B61" s="13"/>
      <c r="C61" s="14"/>
      <c r="D61" s="3"/>
      <c r="E61" s="13"/>
      <c r="F61" s="13"/>
      <c r="G61" s="13"/>
      <c r="H61" s="13"/>
      <c r="I61" s="14"/>
      <c r="J61" s="13"/>
      <c r="K61" s="13"/>
      <c r="L61" s="13"/>
      <c r="M61" s="14"/>
      <c r="N61" s="13"/>
      <c r="O61" s="14"/>
      <c r="P61" s="13"/>
      <c r="Q61" s="13"/>
      <c r="R61" s="14"/>
      <c r="S61" s="13"/>
      <c r="T61" s="4"/>
      <c r="U61" s="13"/>
      <c r="AO61" s="10"/>
      <c r="AX61" s="10"/>
      <c r="AY61" s="10"/>
    </row>
    <row r="62" spans="2:51" ht="54" customHeight="1" x14ac:dyDescent="0.2">
      <c r="B62" s="13"/>
      <c r="C62" s="14"/>
      <c r="D62" s="3"/>
      <c r="E62" s="13"/>
      <c r="F62" s="13"/>
      <c r="G62" s="13"/>
      <c r="H62" s="13"/>
      <c r="I62" s="14"/>
      <c r="J62" s="13"/>
      <c r="K62" s="13"/>
      <c r="L62" s="13"/>
      <c r="M62" s="14"/>
      <c r="N62" s="13"/>
      <c r="O62" s="14"/>
      <c r="P62" s="13"/>
      <c r="Q62" s="13"/>
      <c r="R62" s="14"/>
      <c r="S62" s="13"/>
      <c r="T62" s="4"/>
      <c r="U62" s="13"/>
      <c r="AO62" s="10"/>
      <c r="AX62" s="10"/>
      <c r="AY62" s="10"/>
    </row>
    <row r="63" spans="2:51" ht="54" customHeight="1" x14ac:dyDescent="0.2">
      <c r="B63" s="13"/>
      <c r="C63" s="14"/>
      <c r="D63" s="3"/>
      <c r="E63" s="13"/>
      <c r="F63" s="13"/>
      <c r="G63" s="13"/>
      <c r="H63" s="13"/>
      <c r="I63" s="13"/>
      <c r="J63" s="13"/>
      <c r="K63" s="13"/>
      <c r="L63" s="13"/>
      <c r="M63" s="13"/>
      <c r="N63" s="13"/>
      <c r="O63" s="14"/>
      <c r="P63" s="13"/>
      <c r="Q63" s="13"/>
      <c r="R63" s="14"/>
      <c r="S63" s="13"/>
      <c r="T63" s="4"/>
      <c r="U63" s="13"/>
      <c r="AO63" s="10"/>
      <c r="AX63" s="10"/>
      <c r="AY63" s="10"/>
    </row>
    <row r="64" spans="2:51" ht="54" customHeight="1" x14ac:dyDescent="0.2">
      <c r="B64" s="13"/>
      <c r="C64" s="14"/>
      <c r="D64" s="3"/>
      <c r="E64" s="13"/>
      <c r="F64" s="13"/>
      <c r="G64" s="13"/>
      <c r="H64" s="13"/>
      <c r="I64" s="14"/>
      <c r="J64" s="13"/>
      <c r="K64" s="13"/>
      <c r="L64" s="14"/>
      <c r="M64" s="14"/>
      <c r="N64" s="13"/>
      <c r="O64" s="14"/>
      <c r="P64" s="13"/>
      <c r="Q64" s="13"/>
      <c r="R64" s="14"/>
      <c r="S64" s="13"/>
      <c r="T64" s="4"/>
      <c r="U64" s="13"/>
      <c r="AO64" s="10"/>
      <c r="AX64" s="10"/>
      <c r="AY64" s="10"/>
    </row>
    <row r="65" spans="2:51" ht="54" customHeight="1" x14ac:dyDescent="0.2">
      <c r="B65" s="13"/>
      <c r="C65" s="14"/>
      <c r="D65" s="3"/>
      <c r="E65" s="13"/>
      <c r="F65" s="13"/>
      <c r="G65" s="13"/>
      <c r="H65" s="13"/>
      <c r="I65" s="14"/>
      <c r="J65" s="13"/>
      <c r="K65" s="13"/>
      <c r="L65" s="14"/>
      <c r="M65" s="14"/>
      <c r="N65" s="13"/>
      <c r="O65" s="14"/>
      <c r="P65" s="13"/>
      <c r="Q65" s="13"/>
      <c r="R65" s="14"/>
      <c r="S65" s="13"/>
      <c r="T65" s="4"/>
      <c r="U65" s="13"/>
      <c r="AO65" s="10"/>
      <c r="AX65" s="10"/>
      <c r="AY65" s="10"/>
    </row>
    <row r="66" spans="2:51" ht="54" customHeight="1" x14ac:dyDescent="0.2">
      <c r="B66" s="13"/>
      <c r="C66" s="14"/>
      <c r="D66" s="3"/>
      <c r="E66" s="13"/>
      <c r="F66" s="13"/>
      <c r="G66" s="13"/>
      <c r="H66" s="13"/>
      <c r="I66" s="14"/>
      <c r="J66" s="13"/>
      <c r="K66" s="13"/>
      <c r="L66" s="14"/>
      <c r="M66" s="14"/>
      <c r="N66" s="13"/>
      <c r="O66" s="14"/>
      <c r="P66" s="13"/>
      <c r="Q66" s="13"/>
      <c r="R66" s="14"/>
      <c r="S66" s="13"/>
      <c r="T66" s="4"/>
      <c r="U66" s="13"/>
      <c r="AO66" s="10"/>
      <c r="AX66" s="10"/>
      <c r="AY66" s="10"/>
    </row>
    <row r="67" spans="2:51" ht="54" customHeight="1" x14ac:dyDescent="0.2">
      <c r="B67" s="13"/>
      <c r="C67" s="14"/>
      <c r="D67" s="3"/>
      <c r="E67" s="13"/>
      <c r="F67" s="13"/>
      <c r="G67" s="13"/>
      <c r="H67" s="13"/>
      <c r="I67" s="14"/>
      <c r="J67" s="13"/>
      <c r="K67" s="13"/>
      <c r="L67" s="13"/>
      <c r="M67" s="14"/>
      <c r="N67" s="13"/>
      <c r="O67" s="14"/>
      <c r="P67" s="13"/>
      <c r="Q67" s="13"/>
      <c r="R67" s="14"/>
      <c r="S67" s="13"/>
      <c r="T67" s="4"/>
      <c r="U67" s="13"/>
      <c r="AO67" s="10"/>
      <c r="AX67" s="10"/>
    </row>
    <row r="68" spans="2:51" ht="54" customHeight="1" x14ac:dyDescent="0.2">
      <c r="B68" s="13"/>
      <c r="C68" s="14"/>
      <c r="D68" s="3"/>
      <c r="E68" s="13"/>
      <c r="F68" s="13"/>
      <c r="G68" s="13"/>
      <c r="H68" s="13"/>
      <c r="I68" s="14"/>
      <c r="J68" s="13"/>
      <c r="K68" s="13"/>
      <c r="L68" s="14"/>
      <c r="M68" s="14"/>
      <c r="N68" s="13"/>
      <c r="O68" s="14"/>
      <c r="P68" s="13"/>
      <c r="Q68" s="13"/>
      <c r="R68" s="14"/>
      <c r="S68" s="13"/>
      <c r="T68" s="4"/>
      <c r="U68" s="13"/>
      <c r="AO68" s="10"/>
      <c r="AY68" s="5"/>
    </row>
    <row r="69" spans="2:51" ht="54" customHeight="1" x14ac:dyDescent="0.2">
      <c r="B69" s="13"/>
      <c r="C69" s="14"/>
      <c r="D69" s="3"/>
      <c r="E69" s="13"/>
      <c r="F69" s="13"/>
      <c r="G69" s="13"/>
      <c r="H69" s="13"/>
      <c r="I69" s="14"/>
      <c r="J69" s="13"/>
      <c r="K69" s="13"/>
      <c r="L69" s="14"/>
      <c r="M69" s="15"/>
      <c r="N69" s="13"/>
      <c r="O69" s="14"/>
      <c r="P69" s="13"/>
      <c r="Q69" s="13"/>
      <c r="R69" s="14"/>
      <c r="S69" s="13"/>
      <c r="T69" s="4"/>
      <c r="U69" s="13"/>
      <c r="AO69" s="10"/>
      <c r="AX69" s="5"/>
      <c r="AY69" s="10"/>
    </row>
    <row r="70" spans="2:51" ht="54" customHeight="1" x14ac:dyDescent="0.2">
      <c r="B70" s="13"/>
      <c r="C70" s="14"/>
      <c r="D70" s="3"/>
      <c r="E70" s="13"/>
      <c r="F70" s="13"/>
      <c r="G70" s="13"/>
      <c r="H70" s="13"/>
      <c r="I70" s="14"/>
      <c r="J70" s="13"/>
      <c r="K70" s="13"/>
      <c r="L70" s="14"/>
      <c r="M70" s="14"/>
      <c r="N70" s="13"/>
      <c r="O70" s="14"/>
      <c r="P70" s="13"/>
      <c r="Q70" s="13"/>
      <c r="R70" s="14"/>
      <c r="S70" s="13"/>
      <c r="T70" s="4"/>
      <c r="U70" s="13"/>
      <c r="AX70" s="10"/>
      <c r="AY70" s="10"/>
    </row>
    <row r="71" spans="2:51" ht="54" customHeight="1" x14ac:dyDescent="0.2">
      <c r="B71" s="13"/>
      <c r="C71" s="14"/>
      <c r="D71" s="3"/>
      <c r="E71" s="13"/>
      <c r="F71" s="13"/>
      <c r="G71" s="13"/>
      <c r="H71" s="13"/>
      <c r="I71" s="14"/>
      <c r="J71" s="13"/>
      <c r="K71" s="13"/>
      <c r="L71" s="13"/>
      <c r="M71" s="13"/>
      <c r="N71" s="13"/>
      <c r="O71" s="14"/>
      <c r="P71" s="13"/>
      <c r="Q71" s="13"/>
      <c r="R71" s="14"/>
      <c r="S71" s="13"/>
      <c r="T71" s="4"/>
      <c r="U71" s="13"/>
      <c r="AO71" s="5"/>
      <c r="AX71" s="10"/>
      <c r="AY71" s="10"/>
    </row>
    <row r="72" spans="2:51" ht="54" customHeight="1" x14ac:dyDescent="0.2">
      <c r="B72" s="13"/>
      <c r="C72" s="14"/>
      <c r="D72" s="3"/>
      <c r="E72" s="13"/>
      <c r="F72" s="13"/>
      <c r="G72" s="13"/>
      <c r="H72" s="13"/>
      <c r="I72" s="14"/>
      <c r="J72" s="13"/>
      <c r="K72" s="13"/>
      <c r="L72" s="13"/>
      <c r="M72" s="13"/>
      <c r="N72" s="13"/>
      <c r="O72" s="14"/>
      <c r="P72" s="13"/>
      <c r="Q72" s="13"/>
      <c r="R72" s="14"/>
      <c r="S72" s="13"/>
      <c r="T72" s="4"/>
      <c r="U72" s="13" t="s">
        <v>327</v>
      </c>
      <c r="AO72" s="10"/>
      <c r="AX72" s="10"/>
      <c r="AY72" s="10"/>
    </row>
    <row r="73" spans="2:51" ht="54" customHeight="1" x14ac:dyDescent="0.2">
      <c r="B73" s="13"/>
      <c r="C73" s="14"/>
      <c r="D73" s="3"/>
      <c r="E73" s="13"/>
      <c r="F73" s="13"/>
      <c r="G73" s="13"/>
      <c r="H73" s="13"/>
      <c r="I73" s="14"/>
      <c r="J73" s="13"/>
      <c r="K73" s="13"/>
      <c r="L73" s="13"/>
      <c r="M73" s="13"/>
      <c r="N73" s="13"/>
      <c r="O73" s="14"/>
      <c r="P73" s="13"/>
      <c r="Q73" s="13"/>
      <c r="R73" s="14"/>
      <c r="S73" s="13"/>
      <c r="T73" s="4"/>
      <c r="U73" s="13" t="s">
        <v>338</v>
      </c>
      <c r="AO73" s="10"/>
      <c r="AX73" s="10"/>
      <c r="AY73" s="10"/>
    </row>
    <row r="74" spans="2:51" ht="54" customHeight="1" x14ac:dyDescent="0.2">
      <c r="B74" s="13"/>
      <c r="C74" s="14"/>
      <c r="D74" s="3"/>
      <c r="E74" s="13"/>
      <c r="F74" s="13"/>
      <c r="G74" s="13"/>
      <c r="H74" s="13"/>
      <c r="I74" s="14"/>
      <c r="J74" s="13"/>
      <c r="K74" s="13"/>
      <c r="L74" s="13"/>
      <c r="M74" s="13"/>
      <c r="N74" s="13"/>
      <c r="O74" s="14"/>
      <c r="P74" s="13"/>
      <c r="Q74" s="13"/>
      <c r="R74" s="14"/>
      <c r="S74" s="13"/>
      <c r="T74" s="4"/>
      <c r="U74" s="13"/>
      <c r="AO74" s="10"/>
      <c r="AX74" s="10"/>
      <c r="AY74" s="10"/>
    </row>
    <row r="75" spans="2:51" ht="54" customHeight="1" x14ac:dyDescent="0.2">
      <c r="B75" s="13"/>
      <c r="C75" s="14"/>
      <c r="D75" s="3"/>
      <c r="E75" s="13"/>
      <c r="F75" s="13"/>
      <c r="G75" s="13"/>
      <c r="H75" s="13"/>
      <c r="I75" s="14"/>
      <c r="J75" s="13"/>
      <c r="K75" s="13"/>
      <c r="L75" s="13"/>
      <c r="M75" s="13"/>
      <c r="N75" s="13"/>
      <c r="O75" s="14"/>
      <c r="P75" s="13"/>
      <c r="Q75" s="13"/>
      <c r="R75" s="14"/>
      <c r="S75" s="13"/>
      <c r="T75" s="4"/>
      <c r="U75" s="13" t="s">
        <v>354</v>
      </c>
      <c r="AO75" s="10"/>
      <c r="AX75" s="10"/>
      <c r="AY75" s="10"/>
    </row>
    <row r="76" spans="2:51" ht="54" customHeight="1" x14ac:dyDescent="0.2">
      <c r="B76" s="13"/>
      <c r="C76" s="14"/>
      <c r="D76" s="3"/>
      <c r="E76" s="13"/>
      <c r="F76" s="13"/>
      <c r="G76" s="13"/>
      <c r="H76" s="13"/>
      <c r="I76" s="14"/>
      <c r="J76" s="13"/>
      <c r="K76" s="13"/>
      <c r="L76" s="14"/>
      <c r="M76" s="14"/>
      <c r="N76" s="13"/>
      <c r="O76" s="14"/>
      <c r="P76" s="13"/>
      <c r="Q76" s="13"/>
      <c r="R76" s="14"/>
      <c r="S76" s="13"/>
      <c r="T76" s="4"/>
      <c r="U76" s="13"/>
      <c r="AO76" s="10"/>
      <c r="AX76" s="10"/>
      <c r="AY76" s="10"/>
    </row>
    <row r="77" spans="2:51" ht="54" customHeight="1" x14ac:dyDescent="0.2">
      <c r="B77" s="13"/>
      <c r="C77" s="14"/>
      <c r="D77" s="3"/>
      <c r="E77" s="13"/>
      <c r="F77" s="13"/>
      <c r="G77" s="13"/>
      <c r="H77" s="13"/>
      <c r="I77" s="14"/>
      <c r="J77" s="13"/>
      <c r="K77" s="13"/>
      <c r="L77" s="15"/>
      <c r="M77" s="14"/>
      <c r="N77" s="13"/>
      <c r="O77" s="14"/>
      <c r="P77" s="13"/>
      <c r="Q77" s="13"/>
      <c r="R77" s="14"/>
      <c r="S77" s="13"/>
      <c r="T77" s="4"/>
      <c r="U77" s="13"/>
      <c r="AO77" s="10"/>
      <c r="AX77" s="10"/>
      <c r="AY77" s="10"/>
    </row>
    <row r="78" spans="2:51" ht="54" customHeight="1" x14ac:dyDescent="0.2">
      <c r="B78" s="13"/>
      <c r="C78" s="14"/>
      <c r="D78" s="3"/>
      <c r="E78" s="13"/>
      <c r="F78" s="13"/>
      <c r="G78" s="13"/>
      <c r="H78" s="13"/>
      <c r="I78" s="14"/>
      <c r="J78" s="13"/>
      <c r="K78" s="13"/>
      <c r="L78" s="15"/>
      <c r="M78" s="14"/>
      <c r="N78" s="13"/>
      <c r="O78" s="14"/>
      <c r="P78" s="13"/>
      <c r="Q78" s="13"/>
      <c r="R78" s="14"/>
      <c r="S78" s="13"/>
      <c r="T78" s="4"/>
      <c r="U78" s="13"/>
      <c r="AO78" s="10"/>
      <c r="AX78" s="10"/>
      <c r="AY78" s="10"/>
    </row>
    <row r="79" spans="2:51" ht="54" customHeight="1" x14ac:dyDescent="0.2">
      <c r="B79" s="13"/>
      <c r="C79" s="14"/>
      <c r="D79" s="3"/>
      <c r="E79" s="13"/>
      <c r="F79" s="13"/>
      <c r="G79" s="13"/>
      <c r="H79" s="13"/>
      <c r="I79" s="14"/>
      <c r="J79" s="13"/>
      <c r="K79" s="13"/>
      <c r="L79" s="14"/>
      <c r="M79" s="14"/>
      <c r="N79" s="13"/>
      <c r="O79" s="14"/>
      <c r="P79" s="13"/>
      <c r="Q79" s="13"/>
      <c r="R79" s="14"/>
      <c r="S79" s="13"/>
      <c r="T79" s="4"/>
      <c r="U79" s="13"/>
      <c r="AO79" s="10"/>
      <c r="AX79" s="10"/>
      <c r="AY79" s="10"/>
    </row>
    <row r="80" spans="2:51" ht="54" customHeight="1" x14ac:dyDescent="0.2">
      <c r="B80" s="13"/>
      <c r="C80" s="14"/>
      <c r="D80" s="3"/>
      <c r="E80" s="13"/>
      <c r="F80" s="13"/>
      <c r="G80" s="13"/>
      <c r="H80" s="13"/>
      <c r="I80" s="14"/>
      <c r="J80" s="13"/>
      <c r="K80" s="13"/>
      <c r="L80" s="13"/>
      <c r="M80" s="13"/>
      <c r="N80" s="13"/>
      <c r="O80" s="14"/>
      <c r="P80" s="13"/>
      <c r="Q80" s="13"/>
      <c r="R80" s="14"/>
      <c r="S80" s="13"/>
      <c r="T80" s="4"/>
      <c r="U80" s="13"/>
      <c r="AO80" s="10"/>
      <c r="AX80" s="10"/>
      <c r="AY80" s="10"/>
    </row>
    <row r="81" spans="2:51" ht="54" customHeight="1" x14ac:dyDescent="0.2">
      <c r="B81" s="13"/>
      <c r="C81" s="14"/>
      <c r="D81" s="3"/>
      <c r="E81" s="13"/>
      <c r="F81" s="13"/>
      <c r="G81" s="13"/>
      <c r="H81" s="13"/>
      <c r="I81" s="14"/>
      <c r="J81" s="13"/>
      <c r="K81" s="13"/>
      <c r="L81" s="13"/>
      <c r="M81" s="13"/>
      <c r="N81" s="13"/>
      <c r="O81" s="14"/>
      <c r="P81" s="13"/>
      <c r="Q81" s="13"/>
      <c r="R81" s="14"/>
      <c r="S81" s="13"/>
      <c r="T81" s="4"/>
      <c r="U81" s="13"/>
      <c r="AO81" s="10"/>
      <c r="AX81" s="10"/>
      <c r="AY81" s="10"/>
    </row>
    <row r="82" spans="2:51" ht="54" customHeight="1" x14ac:dyDescent="0.2">
      <c r="B82" s="13"/>
      <c r="C82" s="14"/>
      <c r="D82" s="3"/>
      <c r="E82" s="13"/>
      <c r="F82" s="13"/>
      <c r="G82" s="13"/>
      <c r="H82" s="13"/>
      <c r="I82" s="14"/>
      <c r="J82" s="13"/>
      <c r="K82" s="13"/>
      <c r="L82" s="13"/>
      <c r="M82" s="14"/>
      <c r="N82" s="13"/>
      <c r="O82" s="14"/>
      <c r="P82" s="13"/>
      <c r="Q82" s="13"/>
      <c r="R82" s="14"/>
      <c r="S82" s="13"/>
      <c r="T82" s="4"/>
      <c r="U82" s="13"/>
      <c r="AO82" s="10"/>
      <c r="AX82" s="10"/>
      <c r="AY82" s="10"/>
    </row>
    <row r="83" spans="2:51" ht="54" customHeight="1" x14ac:dyDescent="0.2">
      <c r="B83" s="13"/>
      <c r="C83" s="14"/>
      <c r="D83" s="3"/>
      <c r="E83" s="13"/>
      <c r="F83" s="13"/>
      <c r="G83" s="13"/>
      <c r="H83" s="13"/>
      <c r="I83" s="14"/>
      <c r="J83" s="13"/>
      <c r="K83" s="13"/>
      <c r="L83" s="13"/>
      <c r="M83" s="13"/>
      <c r="N83" s="13"/>
      <c r="O83" s="14"/>
      <c r="P83" s="13"/>
      <c r="Q83" s="13"/>
      <c r="R83" s="14"/>
      <c r="S83" s="13"/>
      <c r="T83" s="4"/>
      <c r="U83" s="13"/>
      <c r="AO83" s="10"/>
      <c r="AX83" s="10"/>
      <c r="AY83" s="10"/>
    </row>
    <row r="84" spans="2:51" ht="54" customHeight="1" x14ac:dyDescent="0.2">
      <c r="B84" s="13"/>
      <c r="C84" s="14"/>
      <c r="D84" s="3"/>
      <c r="E84" s="13"/>
      <c r="F84" s="13"/>
      <c r="G84" s="13"/>
      <c r="H84" s="13"/>
      <c r="I84" s="14"/>
      <c r="J84" s="13"/>
      <c r="K84" s="13"/>
      <c r="L84" s="14"/>
      <c r="M84" s="14"/>
      <c r="N84" s="13"/>
      <c r="O84" s="14"/>
      <c r="P84" s="13"/>
      <c r="Q84" s="13"/>
      <c r="R84" s="14"/>
      <c r="S84" s="13"/>
      <c r="T84" s="4"/>
      <c r="U84" s="13"/>
      <c r="AO84" s="10"/>
      <c r="AX84" s="10"/>
      <c r="AY84" s="10"/>
    </row>
    <row r="85" spans="2:51" ht="54" customHeight="1" x14ac:dyDescent="0.2">
      <c r="B85" s="13"/>
      <c r="C85" s="14"/>
      <c r="D85" s="3"/>
      <c r="E85" s="13"/>
      <c r="F85" s="13"/>
      <c r="G85" s="13"/>
      <c r="H85" s="13"/>
      <c r="I85" s="14"/>
      <c r="J85" s="13"/>
      <c r="K85" s="13"/>
      <c r="L85" s="14"/>
      <c r="M85" s="14"/>
      <c r="N85" s="13"/>
      <c r="O85" s="14"/>
      <c r="P85" s="13"/>
      <c r="Q85" s="13"/>
      <c r="R85" s="14"/>
      <c r="S85" s="13"/>
      <c r="T85" s="4"/>
      <c r="U85" s="13"/>
      <c r="AO85" s="10"/>
      <c r="AX85" s="10"/>
      <c r="AY85" s="10"/>
    </row>
    <row r="86" spans="2:51" ht="54" customHeight="1" x14ac:dyDescent="0.2">
      <c r="B86" s="13"/>
      <c r="C86" s="14"/>
      <c r="D86" s="3"/>
      <c r="E86" s="13"/>
      <c r="F86" s="13"/>
      <c r="G86" s="13"/>
      <c r="H86" s="13"/>
      <c r="I86" s="14"/>
      <c r="J86" s="13"/>
      <c r="K86" s="13"/>
      <c r="L86" s="14"/>
      <c r="M86" s="14"/>
      <c r="N86" s="13"/>
      <c r="O86" s="14"/>
      <c r="P86" s="13"/>
      <c r="Q86" s="13"/>
      <c r="R86" s="14"/>
      <c r="S86" s="13"/>
      <c r="T86" s="4"/>
      <c r="U86" s="13"/>
      <c r="AO86" s="10"/>
      <c r="AX86" s="10"/>
      <c r="AY86" s="10"/>
    </row>
    <row r="87" spans="2:51" ht="54" customHeight="1" x14ac:dyDescent="0.2">
      <c r="B87" s="13"/>
      <c r="C87" s="14"/>
      <c r="D87" s="3"/>
      <c r="E87" s="13"/>
      <c r="F87" s="13"/>
      <c r="G87" s="13"/>
      <c r="H87" s="13"/>
      <c r="I87" s="14"/>
      <c r="J87" s="13"/>
      <c r="K87" s="13"/>
      <c r="L87" s="13"/>
      <c r="M87" s="13"/>
      <c r="N87" s="13"/>
      <c r="O87" s="14"/>
      <c r="P87" s="13"/>
      <c r="Q87" s="13"/>
      <c r="R87" s="14"/>
      <c r="S87" s="13"/>
      <c r="T87" s="4"/>
      <c r="U87" s="13"/>
      <c r="AO87" s="10"/>
      <c r="AX87" s="10"/>
      <c r="AY87" s="10"/>
    </row>
    <row r="88" spans="2:51" ht="54" customHeight="1" x14ac:dyDescent="0.2">
      <c r="B88" s="13"/>
      <c r="C88" s="14"/>
      <c r="D88" s="3"/>
      <c r="E88" s="13"/>
      <c r="F88" s="13"/>
      <c r="G88" s="13"/>
      <c r="H88" s="13"/>
      <c r="I88" s="14"/>
      <c r="J88" s="13"/>
      <c r="K88" s="13"/>
      <c r="L88" s="13"/>
      <c r="M88" s="13"/>
      <c r="N88" s="13"/>
      <c r="O88" s="14"/>
      <c r="P88" s="13"/>
      <c r="Q88" s="13"/>
      <c r="R88" s="14"/>
      <c r="S88" s="13"/>
      <c r="T88" s="4"/>
      <c r="U88" s="13"/>
      <c r="AO88" s="10"/>
      <c r="AX88" s="10"/>
      <c r="AY88" s="10"/>
    </row>
    <row r="89" spans="2:51" ht="54" customHeight="1" x14ac:dyDescent="0.2">
      <c r="B89" s="13"/>
      <c r="C89" s="14"/>
      <c r="D89" s="3"/>
      <c r="E89" s="13"/>
      <c r="F89" s="13"/>
      <c r="G89" s="13"/>
      <c r="H89" s="13"/>
      <c r="I89" s="14"/>
      <c r="J89" s="13"/>
      <c r="K89" s="13"/>
      <c r="L89" s="13"/>
      <c r="M89" s="14"/>
      <c r="N89" s="13"/>
      <c r="O89" s="14"/>
      <c r="P89" s="13"/>
      <c r="Q89" s="13"/>
      <c r="R89" s="14"/>
      <c r="S89" s="13"/>
      <c r="T89" s="4"/>
      <c r="U89" s="13"/>
      <c r="AO89" s="10"/>
      <c r="AX89" s="10"/>
      <c r="AY89" s="10"/>
    </row>
    <row r="90" spans="2:51" ht="54" customHeight="1" x14ac:dyDescent="0.2">
      <c r="B90" s="13"/>
      <c r="C90" s="14"/>
      <c r="D90" s="3"/>
      <c r="E90" s="13"/>
      <c r="F90" s="13"/>
      <c r="G90" s="13"/>
      <c r="H90" s="13"/>
      <c r="I90" s="14"/>
      <c r="J90" s="13"/>
      <c r="K90" s="13"/>
      <c r="L90" s="13"/>
      <c r="M90" s="13"/>
      <c r="N90" s="13"/>
      <c r="O90" s="14"/>
      <c r="P90" s="13"/>
      <c r="Q90" s="13"/>
      <c r="R90" s="14"/>
      <c r="S90" s="13"/>
      <c r="T90" s="4"/>
      <c r="U90" s="13"/>
      <c r="AO90" s="10"/>
      <c r="AX90" s="10"/>
      <c r="AY90" s="10"/>
    </row>
    <row r="91" spans="2:51" ht="54" customHeight="1" x14ac:dyDescent="0.2">
      <c r="B91" s="13"/>
      <c r="C91" s="14"/>
      <c r="D91" s="3"/>
      <c r="E91" s="13"/>
      <c r="F91" s="13"/>
      <c r="G91" s="13"/>
      <c r="H91" s="13"/>
      <c r="I91" s="14"/>
      <c r="J91" s="13"/>
      <c r="K91" s="13"/>
      <c r="L91" s="14"/>
      <c r="M91" s="14"/>
      <c r="N91" s="13"/>
      <c r="O91" s="14"/>
      <c r="P91" s="13"/>
      <c r="Q91" s="13"/>
      <c r="R91" s="14"/>
      <c r="S91" s="13"/>
      <c r="T91" s="4"/>
      <c r="U91" s="13"/>
      <c r="AO91" s="10"/>
      <c r="AX91" s="10"/>
      <c r="AY91" s="10"/>
    </row>
    <row r="92" spans="2:51" ht="54" customHeight="1" x14ac:dyDescent="0.2">
      <c r="B92" s="13"/>
      <c r="C92" s="14"/>
      <c r="D92" s="3"/>
      <c r="E92" s="13"/>
      <c r="F92" s="13"/>
      <c r="G92" s="13"/>
      <c r="H92" s="13"/>
      <c r="I92" s="14"/>
      <c r="J92" s="13"/>
      <c r="K92" s="13"/>
      <c r="L92" s="14"/>
      <c r="M92" s="14"/>
      <c r="N92" s="13"/>
      <c r="O92" s="14"/>
      <c r="P92" s="13"/>
      <c r="Q92" s="13"/>
      <c r="R92" s="14"/>
      <c r="S92" s="13"/>
      <c r="T92" s="4"/>
      <c r="U92" s="13"/>
      <c r="AO92" s="10"/>
      <c r="AX92" s="10"/>
      <c r="AY92" s="10"/>
    </row>
    <row r="93" spans="2:51" ht="54" customHeight="1" x14ac:dyDescent="0.2">
      <c r="B93" s="13"/>
      <c r="C93" s="14"/>
      <c r="D93" s="3"/>
      <c r="E93" s="13"/>
      <c r="F93" s="13"/>
      <c r="G93" s="13"/>
      <c r="H93" s="13"/>
      <c r="I93" s="14"/>
      <c r="J93" s="13"/>
      <c r="K93" s="13"/>
      <c r="L93" s="14"/>
      <c r="M93" s="13"/>
      <c r="N93" s="13"/>
      <c r="O93" s="14"/>
      <c r="P93" s="13"/>
      <c r="Q93" s="13"/>
      <c r="R93" s="14"/>
      <c r="S93" s="13"/>
      <c r="T93" s="4"/>
      <c r="U93" s="13"/>
      <c r="AO93" s="10"/>
      <c r="AX93" s="10"/>
      <c r="AY93" s="10"/>
    </row>
    <row r="94" spans="2:51" ht="54" customHeight="1" x14ac:dyDescent="0.2">
      <c r="B94" s="13"/>
      <c r="C94" s="14"/>
      <c r="D94" s="3"/>
      <c r="E94" s="13"/>
      <c r="F94" s="13"/>
      <c r="G94" s="13"/>
      <c r="H94" s="13"/>
      <c r="I94" s="14"/>
      <c r="J94" s="13"/>
      <c r="K94" s="13"/>
      <c r="L94" s="13"/>
      <c r="M94" s="14"/>
      <c r="N94" s="13"/>
      <c r="O94" s="14"/>
      <c r="P94" s="13"/>
      <c r="Q94" s="13"/>
      <c r="R94" s="14"/>
      <c r="S94" s="13"/>
      <c r="T94" s="4"/>
      <c r="U94" s="13"/>
      <c r="AO94" s="10"/>
      <c r="AX94" s="10"/>
      <c r="AY94" s="10"/>
    </row>
    <row r="95" spans="2:51" ht="54" customHeight="1" x14ac:dyDescent="0.2">
      <c r="B95" s="13"/>
      <c r="C95" s="14"/>
      <c r="D95" s="3"/>
      <c r="E95" s="13"/>
      <c r="F95" s="13"/>
      <c r="G95" s="13"/>
      <c r="H95" s="13"/>
      <c r="I95" s="14"/>
      <c r="J95" s="13"/>
      <c r="K95" s="13"/>
      <c r="L95" s="13"/>
      <c r="M95" s="14"/>
      <c r="N95" s="13"/>
      <c r="O95" s="14"/>
      <c r="P95" s="13"/>
      <c r="Q95" s="13"/>
      <c r="R95" s="14"/>
      <c r="S95" s="13"/>
      <c r="T95" s="4"/>
      <c r="U95" s="13"/>
      <c r="AO95" s="10"/>
      <c r="AX95" s="10"/>
      <c r="AY95" s="10"/>
    </row>
    <row r="96" spans="2:51" ht="54" customHeight="1" x14ac:dyDescent="0.2">
      <c r="B96" s="13"/>
      <c r="C96" s="14"/>
      <c r="D96" s="3"/>
      <c r="E96" s="13"/>
      <c r="F96" s="13"/>
      <c r="G96" s="13"/>
      <c r="H96" s="13"/>
      <c r="I96" s="14"/>
      <c r="J96" s="13"/>
      <c r="K96" s="13"/>
      <c r="L96" s="13"/>
      <c r="M96" s="14"/>
      <c r="N96" s="13"/>
      <c r="O96" s="14"/>
      <c r="P96" s="13"/>
      <c r="Q96" s="13"/>
      <c r="R96" s="14"/>
      <c r="S96" s="13"/>
      <c r="T96" s="4"/>
      <c r="U96" s="13"/>
      <c r="AO96" s="10"/>
      <c r="AX96" s="10"/>
      <c r="AY96" s="10"/>
    </row>
    <row r="97" spans="2:51" ht="54" customHeight="1" x14ac:dyDescent="0.2">
      <c r="B97" s="13"/>
      <c r="C97" s="14"/>
      <c r="D97" s="3"/>
      <c r="E97" s="13"/>
      <c r="F97" s="13"/>
      <c r="G97" s="13"/>
      <c r="H97" s="13"/>
      <c r="I97" s="14"/>
      <c r="J97" s="13"/>
      <c r="K97" s="13"/>
      <c r="L97" s="13"/>
      <c r="M97" s="14"/>
      <c r="N97" s="13"/>
      <c r="O97" s="14"/>
      <c r="P97" s="13"/>
      <c r="Q97" s="13"/>
      <c r="R97" s="14"/>
      <c r="S97" s="13"/>
      <c r="T97" s="4"/>
      <c r="U97" s="13"/>
      <c r="AO97" s="10"/>
      <c r="AX97" s="10"/>
      <c r="AY97" s="10"/>
    </row>
    <row r="98" spans="2:51" ht="54" customHeight="1" x14ac:dyDescent="0.2">
      <c r="B98" s="13"/>
      <c r="C98" s="14"/>
      <c r="D98" s="3"/>
      <c r="E98" s="13"/>
      <c r="F98" s="13"/>
      <c r="G98" s="13"/>
      <c r="H98" s="13"/>
      <c r="I98" s="14"/>
      <c r="J98" s="13"/>
      <c r="K98" s="13"/>
      <c r="L98" s="13"/>
      <c r="M98" s="14"/>
      <c r="N98" s="13"/>
      <c r="O98" s="14"/>
      <c r="P98" s="13"/>
      <c r="Q98" s="13"/>
      <c r="R98" s="14"/>
      <c r="S98" s="13"/>
      <c r="T98" s="4"/>
      <c r="U98" s="13"/>
      <c r="AO98" s="10"/>
      <c r="AX98" s="10"/>
    </row>
    <row r="99" spans="2:51" ht="54" customHeight="1" x14ac:dyDescent="0.2">
      <c r="B99" s="13"/>
      <c r="C99" s="14"/>
      <c r="D99" s="3"/>
      <c r="E99" s="13"/>
      <c r="F99" s="13"/>
      <c r="G99" s="13"/>
      <c r="H99" s="13"/>
      <c r="I99" s="14"/>
      <c r="J99" s="13"/>
      <c r="K99" s="13"/>
      <c r="L99" s="13"/>
      <c r="M99" s="14"/>
      <c r="N99" s="13"/>
      <c r="O99" s="14"/>
      <c r="P99" s="13"/>
      <c r="Q99" s="13"/>
      <c r="R99" s="14"/>
      <c r="S99" s="13"/>
      <c r="T99" s="4"/>
      <c r="U99" s="13"/>
      <c r="AO99" s="10"/>
      <c r="AY99" s="5"/>
    </row>
    <row r="100" spans="2:51" ht="54" customHeight="1" x14ac:dyDescent="0.2">
      <c r="B100" s="13"/>
      <c r="C100" s="14"/>
      <c r="D100" s="3"/>
      <c r="E100" s="13"/>
      <c r="F100" s="13"/>
      <c r="G100" s="13"/>
      <c r="H100" s="13"/>
      <c r="I100" s="14"/>
      <c r="J100" s="13"/>
      <c r="K100" s="13"/>
      <c r="L100" s="13"/>
      <c r="M100" s="14"/>
      <c r="N100" s="13"/>
      <c r="O100" s="14"/>
      <c r="P100" s="13"/>
      <c r="Q100" s="13"/>
      <c r="R100" s="14"/>
      <c r="S100" s="13"/>
      <c r="T100" s="4"/>
      <c r="U100" s="13"/>
      <c r="AO100" s="10"/>
      <c r="AX100" s="5"/>
      <c r="AY100" s="10"/>
    </row>
    <row r="101" spans="2:51" ht="54" customHeight="1" x14ac:dyDescent="0.2">
      <c r="B101" s="13"/>
      <c r="C101" s="14"/>
      <c r="D101" s="3"/>
      <c r="E101" s="13"/>
      <c r="F101" s="13"/>
      <c r="G101" s="13"/>
      <c r="H101" s="13"/>
      <c r="I101" s="14"/>
      <c r="J101" s="13"/>
      <c r="K101" s="13"/>
      <c r="L101" s="13"/>
      <c r="M101" s="14"/>
      <c r="N101" s="13"/>
      <c r="O101" s="14"/>
      <c r="P101" s="13"/>
      <c r="Q101" s="13"/>
      <c r="R101" s="14"/>
      <c r="S101" s="13"/>
      <c r="T101" s="4"/>
      <c r="U101" s="13"/>
      <c r="AX101" s="10"/>
      <c r="AY101" s="10"/>
    </row>
    <row r="102" spans="2:51" ht="54" customHeight="1" x14ac:dyDescent="0.2">
      <c r="B102" s="13"/>
      <c r="C102" s="14"/>
      <c r="D102" s="3"/>
      <c r="E102" s="13"/>
      <c r="F102" s="13"/>
      <c r="G102" s="13"/>
      <c r="H102" s="13"/>
      <c r="I102" s="14"/>
      <c r="J102" s="13"/>
      <c r="K102" s="13"/>
      <c r="L102" s="14"/>
      <c r="M102" s="14"/>
      <c r="N102" s="13"/>
      <c r="O102" s="14"/>
      <c r="P102" s="13"/>
      <c r="Q102" s="13"/>
      <c r="R102" s="14"/>
      <c r="S102" s="13"/>
      <c r="T102" s="4"/>
      <c r="U102" s="13"/>
      <c r="AO102" s="5"/>
      <c r="AX102" s="10"/>
      <c r="AY102" s="10"/>
    </row>
    <row r="103" spans="2:51" ht="54" customHeight="1" x14ac:dyDescent="0.2">
      <c r="B103" s="13"/>
      <c r="C103" s="14"/>
      <c r="D103" s="3"/>
      <c r="E103" s="13"/>
      <c r="F103" s="13"/>
      <c r="G103" s="13"/>
      <c r="H103" s="13"/>
      <c r="I103" s="14"/>
      <c r="J103" s="13"/>
      <c r="K103" s="13"/>
      <c r="L103" s="13"/>
      <c r="M103" s="14"/>
      <c r="N103" s="13"/>
      <c r="O103" s="14"/>
      <c r="P103" s="13"/>
      <c r="Q103" s="13"/>
      <c r="R103" s="14"/>
      <c r="S103" s="13"/>
      <c r="T103" s="4"/>
      <c r="U103" s="13"/>
      <c r="AO103" s="10"/>
      <c r="AX103" s="10"/>
      <c r="AY103" s="10"/>
    </row>
    <row r="104" spans="2:51" ht="54" customHeight="1" x14ac:dyDescent="0.2">
      <c r="B104" s="13"/>
      <c r="C104" s="14"/>
      <c r="D104" s="3"/>
      <c r="E104" s="13"/>
      <c r="F104" s="13"/>
      <c r="G104" s="13"/>
      <c r="H104" s="13"/>
      <c r="I104" s="14"/>
      <c r="J104" s="13"/>
      <c r="K104" s="13"/>
      <c r="L104" s="13"/>
      <c r="M104" s="14"/>
      <c r="N104" s="13"/>
      <c r="O104" s="14"/>
      <c r="P104" s="13"/>
      <c r="Q104" s="13"/>
      <c r="R104" s="14"/>
      <c r="S104" s="13"/>
      <c r="T104" s="4"/>
      <c r="U104" s="13"/>
      <c r="AO104" s="10"/>
      <c r="AX104" s="10"/>
      <c r="AY104" s="10"/>
    </row>
    <row r="105" spans="2:51" ht="54" customHeight="1" x14ac:dyDescent="0.2">
      <c r="B105" s="13"/>
      <c r="C105" s="14"/>
      <c r="D105" s="3"/>
      <c r="E105" s="13"/>
      <c r="F105" s="13"/>
      <c r="G105" s="13"/>
      <c r="H105" s="13"/>
      <c r="I105" s="14"/>
      <c r="J105" s="13"/>
      <c r="K105" s="13"/>
      <c r="L105" s="13"/>
      <c r="M105" s="14"/>
      <c r="N105" s="13"/>
      <c r="O105" s="14"/>
      <c r="P105" s="13"/>
      <c r="Q105" s="13"/>
      <c r="R105" s="14"/>
      <c r="S105" s="13"/>
      <c r="T105" s="4"/>
      <c r="U105" s="13"/>
      <c r="AO105" s="10"/>
      <c r="AX105" s="10"/>
      <c r="AY105" s="10"/>
    </row>
    <row r="106" spans="2:51" ht="54" customHeight="1" x14ac:dyDescent="0.2">
      <c r="B106" s="13"/>
      <c r="C106" s="14"/>
      <c r="D106" s="3"/>
      <c r="E106" s="13"/>
      <c r="F106" s="13"/>
      <c r="G106" s="13"/>
      <c r="H106" s="13"/>
      <c r="I106" s="14"/>
      <c r="J106" s="13"/>
      <c r="K106" s="13"/>
      <c r="L106" s="14"/>
      <c r="M106" s="14"/>
      <c r="N106" s="13"/>
      <c r="O106" s="14"/>
      <c r="P106" s="13"/>
      <c r="Q106" s="13"/>
      <c r="R106" s="14"/>
      <c r="S106" s="13"/>
      <c r="T106" s="4"/>
      <c r="U106" s="13"/>
      <c r="AO106" s="10"/>
      <c r="AX106" s="10"/>
      <c r="AY106" s="10"/>
    </row>
    <row r="107" spans="2:51" ht="54" customHeight="1" x14ac:dyDescent="0.2">
      <c r="B107" s="13"/>
      <c r="C107" s="14"/>
      <c r="D107" s="3"/>
      <c r="E107" s="13"/>
      <c r="F107" s="13"/>
      <c r="G107" s="13"/>
      <c r="H107" s="13"/>
      <c r="I107" s="14"/>
      <c r="J107" s="13"/>
      <c r="K107" s="13"/>
      <c r="L107" s="13"/>
      <c r="M107" s="14"/>
      <c r="N107" s="13"/>
      <c r="O107" s="14"/>
      <c r="P107" s="13"/>
      <c r="Q107" s="13"/>
      <c r="R107" s="14"/>
      <c r="S107" s="13"/>
      <c r="T107" s="4"/>
      <c r="U107" s="13"/>
      <c r="AO107" s="10"/>
      <c r="AX107" s="10"/>
      <c r="AY107" s="10"/>
    </row>
    <row r="108" spans="2:51" ht="54" customHeight="1" x14ac:dyDescent="0.2">
      <c r="B108" s="13"/>
      <c r="C108" s="14"/>
      <c r="D108" s="3"/>
      <c r="E108" s="13"/>
      <c r="F108" s="13"/>
      <c r="G108" s="13"/>
      <c r="H108" s="13"/>
      <c r="I108" s="14"/>
      <c r="J108" s="13"/>
      <c r="K108" s="13"/>
      <c r="L108" s="15"/>
      <c r="M108" s="14"/>
      <c r="N108" s="13"/>
      <c r="O108" s="14"/>
      <c r="P108" s="13"/>
      <c r="Q108" s="13"/>
      <c r="R108" s="14"/>
      <c r="S108" s="13"/>
      <c r="T108" s="4"/>
      <c r="U108" s="13"/>
      <c r="AO108" s="10"/>
      <c r="AX108" s="10"/>
      <c r="AY108" s="10"/>
    </row>
    <row r="109" spans="2:51" ht="54" customHeight="1" x14ac:dyDescent="0.2">
      <c r="B109" s="13"/>
      <c r="C109" s="14"/>
      <c r="D109" s="3"/>
      <c r="E109" s="13"/>
      <c r="F109" s="13"/>
      <c r="G109" s="13"/>
      <c r="H109" s="13"/>
      <c r="I109" s="14"/>
      <c r="J109" s="13"/>
      <c r="K109" s="13"/>
      <c r="L109" s="14"/>
      <c r="M109" s="13"/>
      <c r="N109" s="13"/>
      <c r="O109" s="14"/>
      <c r="P109" s="13"/>
      <c r="Q109" s="13"/>
      <c r="R109" s="14"/>
      <c r="S109" s="13"/>
      <c r="T109" s="4"/>
      <c r="U109" s="13"/>
      <c r="AO109" s="10"/>
      <c r="AX109" s="10"/>
    </row>
    <row r="110" spans="2:51" ht="54" customHeight="1" x14ac:dyDescent="0.2">
      <c r="B110" s="13"/>
      <c r="C110" s="14"/>
      <c r="D110" s="3"/>
      <c r="E110" s="13"/>
      <c r="F110" s="13"/>
      <c r="G110" s="13"/>
      <c r="H110" s="13"/>
      <c r="I110" s="14"/>
      <c r="J110" s="13"/>
      <c r="K110" s="13"/>
      <c r="L110" s="14"/>
      <c r="M110" s="14"/>
      <c r="N110" s="13"/>
      <c r="O110" s="14"/>
      <c r="P110" s="13"/>
      <c r="Q110" s="13"/>
      <c r="R110" s="14"/>
      <c r="S110" s="13"/>
      <c r="T110" s="4"/>
      <c r="U110" s="13" t="s">
        <v>334</v>
      </c>
      <c r="AO110" s="10"/>
      <c r="AY110" s="5"/>
    </row>
    <row r="111" spans="2:51" ht="54" customHeight="1" x14ac:dyDescent="0.2">
      <c r="B111" s="13"/>
      <c r="C111" s="14"/>
      <c r="D111" s="3"/>
      <c r="E111" s="13"/>
      <c r="F111" s="13"/>
      <c r="G111" s="13"/>
      <c r="H111" s="13"/>
      <c r="I111" s="14"/>
      <c r="J111" s="13"/>
      <c r="K111" s="13"/>
      <c r="L111" s="13"/>
      <c r="M111" s="14"/>
      <c r="N111" s="13"/>
      <c r="O111" s="14"/>
      <c r="P111" s="13"/>
      <c r="Q111" s="13"/>
      <c r="R111" s="14"/>
      <c r="S111" s="13"/>
      <c r="T111" s="4"/>
      <c r="U111" s="13" t="s">
        <v>334</v>
      </c>
      <c r="AO111" s="10"/>
      <c r="AX111" s="5"/>
      <c r="AY111" s="10"/>
    </row>
    <row r="112" spans="2:51" ht="54" customHeight="1" x14ac:dyDescent="0.2">
      <c r="B112" s="13"/>
      <c r="C112" s="14"/>
      <c r="D112" s="3"/>
      <c r="E112" s="13"/>
      <c r="F112" s="13"/>
      <c r="G112" s="13"/>
      <c r="H112" s="13"/>
      <c r="I112" s="14"/>
      <c r="J112" s="13"/>
      <c r="K112" s="13"/>
      <c r="L112" s="13"/>
      <c r="M112" s="14"/>
      <c r="N112" s="13"/>
      <c r="O112" s="14"/>
      <c r="P112" s="13"/>
      <c r="Q112" s="13"/>
      <c r="R112" s="14"/>
      <c r="S112" s="13"/>
      <c r="T112" s="4"/>
      <c r="U112" s="13"/>
      <c r="AX112" s="10"/>
      <c r="AY112" s="10"/>
    </row>
    <row r="113" spans="2:51" ht="54" customHeight="1" x14ac:dyDescent="0.2">
      <c r="B113" s="13"/>
      <c r="C113" s="14"/>
      <c r="D113" s="3"/>
      <c r="E113" s="13"/>
      <c r="F113" s="13"/>
      <c r="G113" s="13"/>
      <c r="H113" s="13"/>
      <c r="I113" s="14"/>
      <c r="J113" s="13"/>
      <c r="K113" s="13"/>
      <c r="L113" s="13"/>
      <c r="M113" s="14"/>
      <c r="N113" s="13"/>
      <c r="O113" s="14"/>
      <c r="P113" s="13"/>
      <c r="Q113" s="13"/>
      <c r="R113" s="14"/>
      <c r="S113" s="13"/>
      <c r="T113" s="4"/>
      <c r="U113" s="13"/>
      <c r="AO113" s="5"/>
      <c r="AX113" s="10"/>
      <c r="AY113" s="10"/>
    </row>
    <row r="114" spans="2:51" ht="54" customHeight="1" x14ac:dyDescent="0.2">
      <c r="B114" s="13"/>
      <c r="C114" s="14"/>
      <c r="D114" s="3"/>
      <c r="E114" s="13"/>
      <c r="F114" s="13"/>
      <c r="G114" s="13"/>
      <c r="H114" s="13"/>
      <c r="I114" s="14"/>
      <c r="J114" s="13"/>
      <c r="K114" s="13"/>
      <c r="L114" s="14"/>
      <c r="M114" s="14"/>
      <c r="N114" s="13"/>
      <c r="O114" s="14"/>
      <c r="P114" s="13"/>
      <c r="Q114" s="13"/>
      <c r="R114" s="14"/>
      <c r="S114" s="13"/>
      <c r="T114" s="4"/>
      <c r="U114" s="13" t="s">
        <v>334</v>
      </c>
      <c r="AO114" s="10"/>
      <c r="AX114" s="10"/>
      <c r="AY114" s="10"/>
    </row>
    <row r="115" spans="2:51" ht="54" customHeight="1" x14ac:dyDescent="0.2">
      <c r="B115" s="13"/>
      <c r="C115" s="14"/>
      <c r="D115" s="3"/>
      <c r="E115" s="13"/>
      <c r="F115" s="13"/>
      <c r="G115" s="13"/>
      <c r="H115" s="13"/>
      <c r="I115" s="14"/>
      <c r="J115" s="13"/>
      <c r="K115" s="13"/>
      <c r="L115" s="14"/>
      <c r="M115" s="14"/>
      <c r="N115" s="13"/>
      <c r="O115" s="14"/>
      <c r="P115" s="13"/>
      <c r="Q115" s="13"/>
      <c r="R115" s="14"/>
      <c r="S115" s="13"/>
      <c r="T115" s="4"/>
      <c r="U115" s="13" t="s">
        <v>334</v>
      </c>
      <c r="AO115" s="10"/>
      <c r="AX115" s="10"/>
      <c r="AY115" s="10"/>
    </row>
    <row r="116" spans="2:51" ht="54" customHeight="1" x14ac:dyDescent="0.2">
      <c r="B116" s="13"/>
      <c r="C116" s="14"/>
      <c r="D116" s="3"/>
      <c r="E116" s="13"/>
      <c r="F116" s="13"/>
      <c r="G116" s="13"/>
      <c r="H116" s="13"/>
      <c r="I116" s="14"/>
      <c r="J116" s="13"/>
      <c r="K116" s="13"/>
      <c r="L116" s="13"/>
      <c r="M116" s="14"/>
      <c r="N116" s="13"/>
      <c r="O116" s="14"/>
      <c r="P116" s="13"/>
      <c r="Q116" s="13"/>
      <c r="R116" s="14"/>
      <c r="S116" s="13"/>
      <c r="T116" s="4"/>
      <c r="U116" s="13"/>
      <c r="AO116" s="10"/>
      <c r="AX116" s="10"/>
      <c r="AY116" s="10"/>
    </row>
    <row r="117" spans="2:51" ht="54" customHeight="1" x14ac:dyDescent="0.2">
      <c r="B117" s="13"/>
      <c r="C117" s="14"/>
      <c r="D117" s="3"/>
      <c r="E117" s="13"/>
      <c r="F117" s="13"/>
      <c r="G117" s="13"/>
      <c r="H117" s="13"/>
      <c r="I117" s="14"/>
      <c r="J117" s="13"/>
      <c r="K117" s="13"/>
      <c r="L117" s="13"/>
      <c r="M117" s="14"/>
      <c r="N117" s="13"/>
      <c r="O117" s="14"/>
      <c r="P117" s="13"/>
      <c r="Q117" s="13"/>
      <c r="R117" s="14"/>
      <c r="S117" s="13"/>
      <c r="T117" s="4"/>
      <c r="U117" s="13"/>
      <c r="AO117" s="10"/>
      <c r="AX117" s="10"/>
      <c r="AY117" s="10"/>
    </row>
    <row r="118" spans="2:51" ht="54" customHeight="1" x14ac:dyDescent="0.2">
      <c r="B118" s="13"/>
      <c r="C118" s="14"/>
      <c r="D118" s="3"/>
      <c r="E118" s="13"/>
      <c r="F118" s="13"/>
      <c r="G118" s="13"/>
      <c r="H118" s="13"/>
      <c r="I118" s="14"/>
      <c r="J118" s="13"/>
      <c r="K118" s="13"/>
      <c r="L118" s="13"/>
      <c r="M118" s="14"/>
      <c r="N118" s="13"/>
      <c r="O118" s="14"/>
      <c r="P118" s="13"/>
      <c r="Q118" s="13"/>
      <c r="R118" s="14"/>
      <c r="S118" s="13"/>
      <c r="T118" s="4"/>
      <c r="U118" s="13"/>
      <c r="AO118" s="10"/>
      <c r="AX118" s="10"/>
      <c r="AY118" s="10"/>
    </row>
    <row r="119" spans="2:51" ht="54" customHeight="1" x14ac:dyDescent="0.2">
      <c r="B119" s="13"/>
      <c r="C119" s="14"/>
      <c r="D119" s="3"/>
      <c r="E119" s="13"/>
      <c r="F119" s="13"/>
      <c r="G119" s="13"/>
      <c r="H119" s="13"/>
      <c r="I119" s="14"/>
      <c r="J119" s="13"/>
      <c r="K119" s="13"/>
      <c r="L119" s="14"/>
      <c r="M119" s="14"/>
      <c r="N119" s="13"/>
      <c r="O119" s="14"/>
      <c r="P119" s="13"/>
      <c r="Q119" s="13"/>
      <c r="R119" s="14"/>
      <c r="S119" s="13"/>
      <c r="T119" s="4"/>
      <c r="U119" s="13"/>
      <c r="AO119" s="10"/>
      <c r="AX119" s="10"/>
      <c r="AY119" s="10"/>
    </row>
    <row r="120" spans="2:51" ht="54" customHeight="1" x14ac:dyDescent="0.2">
      <c r="B120" s="13"/>
      <c r="C120" s="14"/>
      <c r="D120" s="3"/>
      <c r="E120" s="13"/>
      <c r="F120" s="13"/>
      <c r="G120" s="13"/>
      <c r="H120" s="13"/>
      <c r="I120" s="14"/>
      <c r="J120" s="13"/>
      <c r="K120" s="13"/>
      <c r="L120" s="13"/>
      <c r="M120" s="13"/>
      <c r="N120" s="13"/>
      <c r="O120" s="14"/>
      <c r="P120" s="13"/>
      <c r="Q120" s="13"/>
      <c r="R120" s="14"/>
      <c r="S120" s="13"/>
      <c r="T120" s="4"/>
      <c r="U120" s="13"/>
      <c r="AO120" s="10"/>
      <c r="AX120" s="10"/>
      <c r="AY120" s="10"/>
    </row>
    <row r="121" spans="2:51" ht="54" customHeight="1" x14ac:dyDescent="0.2">
      <c r="B121" s="13"/>
      <c r="C121" s="14"/>
      <c r="D121" s="3"/>
      <c r="E121" s="13"/>
      <c r="F121" s="13"/>
      <c r="G121" s="13"/>
      <c r="H121" s="13"/>
      <c r="I121" s="14"/>
      <c r="J121" s="13"/>
      <c r="K121" s="13"/>
      <c r="L121" s="14"/>
      <c r="M121" s="14"/>
      <c r="N121" s="13"/>
      <c r="O121" s="14"/>
      <c r="P121" s="13"/>
      <c r="Q121" s="13"/>
      <c r="R121" s="14"/>
      <c r="S121" s="13"/>
      <c r="T121" s="4"/>
      <c r="U121" s="13"/>
      <c r="AO121" s="10"/>
      <c r="AX121" s="10"/>
      <c r="AY121" s="10"/>
    </row>
    <row r="122" spans="2:51" ht="54" customHeight="1" x14ac:dyDescent="0.2">
      <c r="B122" s="13"/>
      <c r="C122" s="14"/>
      <c r="D122" s="3"/>
      <c r="E122" s="13"/>
      <c r="F122" s="13"/>
      <c r="G122" s="13"/>
      <c r="H122" s="13"/>
      <c r="I122" s="14"/>
      <c r="J122" s="13"/>
      <c r="K122" s="13"/>
      <c r="L122" s="14"/>
      <c r="M122" s="14"/>
      <c r="N122" s="13"/>
      <c r="O122" s="14"/>
      <c r="P122" s="13"/>
      <c r="Q122" s="13"/>
      <c r="R122" s="14"/>
      <c r="S122" s="13"/>
      <c r="T122" s="4"/>
      <c r="U122" s="13"/>
      <c r="AO122" s="10"/>
      <c r="AX122" s="10"/>
      <c r="AY122" s="10"/>
    </row>
    <row r="123" spans="2:51" ht="54" customHeight="1" x14ac:dyDescent="0.2">
      <c r="B123" s="13"/>
      <c r="C123" s="14"/>
      <c r="D123" s="3"/>
      <c r="E123" s="13"/>
      <c r="F123" s="13"/>
      <c r="G123" s="13"/>
      <c r="H123" s="13"/>
      <c r="I123" s="14"/>
      <c r="J123" s="13"/>
      <c r="K123" s="13"/>
      <c r="L123" s="14"/>
      <c r="M123" s="14"/>
      <c r="N123" s="13"/>
      <c r="O123" s="14"/>
      <c r="P123" s="13"/>
      <c r="Q123" s="13"/>
      <c r="R123" s="14"/>
      <c r="S123" s="13"/>
      <c r="T123" s="4"/>
      <c r="U123" s="13"/>
      <c r="AO123" s="10"/>
      <c r="AX123" s="10"/>
      <c r="AY123" s="10"/>
    </row>
    <row r="124" spans="2:51" ht="54" customHeight="1" x14ac:dyDescent="0.2">
      <c r="B124" s="13"/>
      <c r="C124" s="14"/>
      <c r="D124" s="3"/>
      <c r="E124" s="13"/>
      <c r="F124" s="13"/>
      <c r="G124" s="13"/>
      <c r="H124" s="13"/>
      <c r="I124" s="14"/>
      <c r="J124" s="13"/>
      <c r="K124" s="13"/>
      <c r="L124" s="13"/>
      <c r="M124" s="14"/>
      <c r="N124" s="13"/>
      <c r="O124" s="14"/>
      <c r="P124" s="13"/>
      <c r="Q124" s="13"/>
      <c r="R124" s="14"/>
      <c r="S124" s="13"/>
      <c r="T124" s="4"/>
      <c r="U124" s="13" t="s">
        <v>334</v>
      </c>
      <c r="AO124" s="10"/>
      <c r="AX124" s="10"/>
      <c r="AY124" s="10"/>
    </row>
    <row r="125" spans="2:51" ht="54" customHeight="1" x14ac:dyDescent="0.2">
      <c r="B125" s="13"/>
      <c r="C125" s="14"/>
      <c r="D125" s="3"/>
      <c r="E125" s="13"/>
      <c r="F125" s="13"/>
      <c r="G125" s="13"/>
      <c r="H125" s="13"/>
      <c r="I125" s="14"/>
      <c r="J125" s="13"/>
      <c r="K125" s="13"/>
      <c r="L125" s="13"/>
      <c r="M125" s="14"/>
      <c r="N125" s="13"/>
      <c r="O125" s="14"/>
      <c r="P125" s="13"/>
      <c r="Q125" s="13"/>
      <c r="R125" s="14"/>
      <c r="S125" s="13"/>
      <c r="T125" s="4"/>
      <c r="U125" s="13" t="s">
        <v>334</v>
      </c>
      <c r="AO125" s="10"/>
      <c r="AX125" s="10"/>
      <c r="AY125" s="10"/>
    </row>
    <row r="126" spans="2:51" ht="54" customHeight="1" x14ac:dyDescent="0.2">
      <c r="B126" s="13"/>
      <c r="C126" s="14"/>
      <c r="D126" s="3"/>
      <c r="E126" s="13"/>
      <c r="F126" s="13"/>
      <c r="G126" s="13"/>
      <c r="H126" s="13"/>
      <c r="I126" s="14"/>
      <c r="J126" s="13"/>
      <c r="K126" s="13"/>
      <c r="L126" s="14"/>
      <c r="M126" s="14"/>
      <c r="N126" s="13"/>
      <c r="O126" s="14"/>
      <c r="P126" s="13"/>
      <c r="Q126" s="13"/>
      <c r="R126" s="14"/>
      <c r="S126" s="13"/>
      <c r="T126" s="4"/>
      <c r="U126" s="13"/>
      <c r="AO126" s="10"/>
      <c r="AX126" s="10"/>
      <c r="AY126" s="10"/>
    </row>
    <row r="127" spans="2:51" ht="54" customHeight="1" x14ac:dyDescent="0.2">
      <c r="B127" s="13"/>
      <c r="C127" s="14"/>
      <c r="D127" s="3"/>
      <c r="E127" s="13"/>
      <c r="F127" s="13"/>
      <c r="G127" s="13"/>
      <c r="H127" s="13"/>
      <c r="I127" s="14"/>
      <c r="J127" s="13"/>
      <c r="K127" s="13"/>
      <c r="L127" s="13"/>
      <c r="M127" s="14"/>
      <c r="N127" s="13"/>
      <c r="O127" s="14"/>
      <c r="P127" s="13"/>
      <c r="Q127" s="13"/>
      <c r="R127" s="14"/>
      <c r="S127" s="13"/>
      <c r="T127" s="4"/>
      <c r="U127" s="13"/>
      <c r="AO127" s="10"/>
      <c r="AX127" s="10"/>
      <c r="AY127" s="10"/>
    </row>
    <row r="128" spans="2:51" ht="54" customHeight="1" x14ac:dyDescent="0.2">
      <c r="B128" s="13"/>
      <c r="C128" s="14"/>
      <c r="D128" s="3"/>
      <c r="E128" s="13"/>
      <c r="F128" s="13"/>
      <c r="G128" s="13"/>
      <c r="H128" s="13"/>
      <c r="I128" s="14"/>
      <c r="J128" s="13"/>
      <c r="K128" s="13"/>
      <c r="L128" s="14"/>
      <c r="M128" s="14"/>
      <c r="N128" s="13"/>
      <c r="O128" s="14"/>
      <c r="P128" s="13"/>
      <c r="Q128" s="13"/>
      <c r="R128" s="14"/>
      <c r="S128" s="13"/>
      <c r="T128" s="4"/>
      <c r="U128" s="13"/>
      <c r="AO128" s="10"/>
      <c r="AX128" s="10"/>
      <c r="AY128" s="10"/>
    </row>
    <row r="129" spans="2:51" ht="54" customHeight="1" x14ac:dyDescent="0.2">
      <c r="B129" s="13"/>
      <c r="C129" s="14"/>
      <c r="D129" s="3"/>
      <c r="E129" s="13"/>
      <c r="F129" s="13"/>
      <c r="G129" s="13"/>
      <c r="H129" s="13"/>
      <c r="I129" s="14"/>
      <c r="J129" s="13"/>
      <c r="K129" s="13"/>
      <c r="L129" s="13"/>
      <c r="M129" s="14"/>
      <c r="N129" s="13"/>
      <c r="O129" s="14"/>
      <c r="P129" s="13"/>
      <c r="Q129" s="13"/>
      <c r="R129" s="14"/>
      <c r="S129" s="13"/>
      <c r="T129" s="4"/>
      <c r="U129" s="13"/>
      <c r="AO129" s="10"/>
      <c r="AX129" s="10"/>
      <c r="AY129" s="10"/>
    </row>
    <row r="130" spans="2:51" ht="54" customHeight="1" x14ac:dyDescent="0.2">
      <c r="B130" s="13"/>
      <c r="C130" s="14"/>
      <c r="D130" s="3"/>
      <c r="E130" s="13"/>
      <c r="F130" s="13"/>
      <c r="G130" s="13"/>
      <c r="H130" s="13"/>
      <c r="I130" s="14"/>
      <c r="J130" s="13"/>
      <c r="K130" s="13"/>
      <c r="L130" s="13"/>
      <c r="M130" s="14"/>
      <c r="N130" s="13"/>
      <c r="O130" s="14"/>
      <c r="P130" s="13"/>
      <c r="Q130" s="13"/>
      <c r="R130" s="14"/>
      <c r="S130" s="13"/>
      <c r="T130" s="4"/>
      <c r="U130" s="13"/>
      <c r="AO130" s="10"/>
      <c r="AX130" s="10"/>
      <c r="AY130" s="10"/>
    </row>
    <row r="131" spans="2:51" ht="54" customHeight="1" x14ac:dyDescent="0.2">
      <c r="B131" s="13"/>
      <c r="C131" s="14"/>
      <c r="D131" s="3"/>
      <c r="E131" s="13"/>
      <c r="F131" s="13"/>
      <c r="G131" s="13"/>
      <c r="H131" s="13"/>
      <c r="I131" s="14"/>
      <c r="J131" s="13"/>
      <c r="K131" s="13"/>
      <c r="L131" s="14"/>
      <c r="M131" s="14"/>
      <c r="N131" s="13"/>
      <c r="O131" s="14"/>
      <c r="P131" s="13"/>
      <c r="Q131" s="13"/>
      <c r="R131" s="14"/>
      <c r="S131" s="13"/>
      <c r="T131" s="4"/>
      <c r="U131" s="13"/>
      <c r="AO131" s="10"/>
      <c r="AX131" s="10"/>
      <c r="AY131" s="10"/>
    </row>
    <row r="132" spans="2:51" ht="54" customHeight="1" x14ac:dyDescent="0.2">
      <c r="B132" s="13"/>
      <c r="C132" s="14"/>
      <c r="D132" s="3"/>
      <c r="E132" s="13"/>
      <c r="F132" s="13"/>
      <c r="G132" s="13"/>
      <c r="H132" s="13"/>
      <c r="I132" s="14"/>
      <c r="J132" s="13"/>
      <c r="K132" s="13"/>
      <c r="L132" s="13"/>
      <c r="M132" s="14"/>
      <c r="N132" s="13"/>
      <c r="O132" s="14"/>
      <c r="P132" s="13"/>
      <c r="Q132" s="13"/>
      <c r="R132" s="14"/>
      <c r="S132" s="13"/>
      <c r="T132" s="4"/>
      <c r="U132" s="13"/>
      <c r="AO132" s="10"/>
      <c r="AX132" s="10"/>
      <c r="AY132" s="10"/>
    </row>
    <row r="133" spans="2:51" ht="54" customHeight="1" x14ac:dyDescent="0.2">
      <c r="B133" s="13"/>
      <c r="C133" s="14"/>
      <c r="D133" s="3"/>
      <c r="E133" s="13"/>
      <c r="F133" s="13"/>
      <c r="G133" s="13"/>
      <c r="H133" s="13"/>
      <c r="I133" s="14"/>
      <c r="J133" s="13"/>
      <c r="K133" s="13"/>
      <c r="L133" s="13"/>
      <c r="M133" s="14"/>
      <c r="N133" s="13"/>
      <c r="O133" s="14"/>
      <c r="P133" s="13"/>
      <c r="Q133" s="13"/>
      <c r="R133" s="14"/>
      <c r="S133" s="13"/>
      <c r="T133" s="4"/>
      <c r="U133" s="13"/>
      <c r="AO133" s="10"/>
      <c r="AX133" s="10"/>
      <c r="AY133" s="10"/>
    </row>
    <row r="134" spans="2:51" ht="54" customHeight="1" x14ac:dyDescent="0.2">
      <c r="B134" s="13"/>
      <c r="C134" s="14"/>
      <c r="D134" s="3"/>
      <c r="E134" s="13"/>
      <c r="F134" s="13"/>
      <c r="G134" s="13"/>
      <c r="H134" s="13"/>
      <c r="I134" s="14"/>
      <c r="J134" s="13"/>
      <c r="K134" s="13"/>
      <c r="L134" s="15"/>
      <c r="M134" s="14"/>
      <c r="N134" s="13"/>
      <c r="O134" s="14"/>
      <c r="P134" s="13"/>
      <c r="Q134" s="13"/>
      <c r="R134" s="14"/>
      <c r="S134" s="13"/>
      <c r="T134" s="4"/>
      <c r="U134" s="13"/>
      <c r="AO134" s="10"/>
      <c r="AX134" s="10"/>
      <c r="AY134" s="10"/>
    </row>
    <row r="135" spans="2:51" ht="54" customHeight="1" x14ac:dyDescent="0.2">
      <c r="B135" s="13"/>
      <c r="C135" s="14"/>
      <c r="D135" s="3"/>
      <c r="E135" s="13"/>
      <c r="F135" s="13"/>
      <c r="G135" s="13"/>
      <c r="H135" s="13"/>
      <c r="I135" s="14"/>
      <c r="J135" s="13"/>
      <c r="K135" s="13"/>
      <c r="L135" s="14"/>
      <c r="M135" s="14"/>
      <c r="N135" s="13"/>
      <c r="O135" s="14"/>
      <c r="P135" s="13"/>
      <c r="Q135" s="13"/>
      <c r="R135" s="14"/>
      <c r="S135" s="13"/>
      <c r="T135" s="4"/>
      <c r="U135" s="13"/>
      <c r="AO135" s="10"/>
      <c r="AX135" s="10"/>
      <c r="AY135" s="10"/>
    </row>
    <row r="136" spans="2:51" ht="54" customHeight="1" x14ac:dyDescent="0.2">
      <c r="B136" s="13"/>
      <c r="C136" s="14"/>
      <c r="D136" s="3"/>
      <c r="E136" s="13"/>
      <c r="F136" s="13"/>
      <c r="G136" s="13"/>
      <c r="H136" s="13"/>
      <c r="I136" s="14"/>
      <c r="J136" s="13"/>
      <c r="K136" s="13"/>
      <c r="L136" s="13"/>
      <c r="M136" s="14"/>
      <c r="N136" s="13"/>
      <c r="O136" s="14"/>
      <c r="P136" s="13"/>
      <c r="Q136" s="13"/>
      <c r="R136" s="14"/>
      <c r="S136" s="13"/>
      <c r="T136" s="4"/>
      <c r="U136" s="13"/>
      <c r="AO136" s="10"/>
      <c r="AX136" s="10"/>
      <c r="AY136" s="10"/>
    </row>
    <row r="137" spans="2:51" ht="54" customHeight="1" x14ac:dyDescent="0.2">
      <c r="B137" s="13"/>
      <c r="C137" s="14"/>
      <c r="D137" s="3"/>
      <c r="E137" s="13"/>
      <c r="F137" s="13"/>
      <c r="G137" s="13"/>
      <c r="H137" s="13"/>
      <c r="I137" s="13"/>
      <c r="J137" s="13"/>
      <c r="K137" s="13"/>
      <c r="L137" s="13"/>
      <c r="M137" s="13"/>
      <c r="N137" s="13"/>
      <c r="O137" s="14"/>
      <c r="P137" s="13"/>
      <c r="Q137" s="13"/>
      <c r="R137" s="14"/>
      <c r="S137" s="13"/>
      <c r="T137" s="4"/>
      <c r="U137" s="13"/>
      <c r="AO137" s="10"/>
      <c r="AX137" s="10"/>
      <c r="AY137" s="10"/>
    </row>
    <row r="138" spans="2:51" ht="54" customHeight="1" x14ac:dyDescent="0.2">
      <c r="B138" s="13"/>
      <c r="C138" s="14"/>
      <c r="D138" s="3"/>
      <c r="E138" s="13"/>
      <c r="F138" s="13"/>
      <c r="G138" s="13"/>
      <c r="H138" s="13"/>
      <c r="I138" s="14"/>
      <c r="J138" s="13"/>
      <c r="K138" s="13"/>
      <c r="L138" s="13"/>
      <c r="M138" s="14"/>
      <c r="N138" s="13"/>
      <c r="O138" s="14"/>
      <c r="P138" s="13"/>
      <c r="Q138" s="13"/>
      <c r="R138" s="14"/>
      <c r="S138" s="13"/>
      <c r="T138" s="4"/>
      <c r="U138" s="13"/>
      <c r="AO138" s="10"/>
      <c r="AX138" s="10"/>
      <c r="AY138" s="10"/>
    </row>
    <row r="139" spans="2:51" ht="54" customHeight="1" x14ac:dyDescent="0.2">
      <c r="B139" s="13"/>
      <c r="C139" s="14"/>
      <c r="D139" s="3"/>
      <c r="E139" s="13"/>
      <c r="F139" s="13"/>
      <c r="G139" s="13"/>
      <c r="H139" s="13"/>
      <c r="I139" s="14"/>
      <c r="J139" s="13"/>
      <c r="K139" s="13"/>
      <c r="L139" s="13"/>
      <c r="M139" s="14"/>
      <c r="N139" s="13"/>
      <c r="O139" s="14"/>
      <c r="P139" s="13"/>
      <c r="Q139" s="13"/>
      <c r="R139" s="14"/>
      <c r="S139" s="13"/>
      <c r="T139" s="4"/>
      <c r="U139" s="13"/>
      <c r="AO139" s="10"/>
      <c r="AX139" s="10"/>
      <c r="AY139" s="10"/>
    </row>
    <row r="140" spans="2:51" ht="54" customHeight="1" x14ac:dyDescent="0.2">
      <c r="B140" s="13"/>
      <c r="C140" s="14"/>
      <c r="D140" s="3"/>
      <c r="E140" s="13"/>
      <c r="F140" s="13"/>
      <c r="G140" s="13"/>
      <c r="H140" s="13"/>
      <c r="I140" s="14"/>
      <c r="J140" s="13"/>
      <c r="K140" s="13"/>
      <c r="L140" s="14"/>
      <c r="M140" s="14"/>
      <c r="N140" s="13"/>
      <c r="O140" s="14"/>
      <c r="P140" s="13"/>
      <c r="Q140" s="13"/>
      <c r="R140" s="14"/>
      <c r="S140" s="13"/>
      <c r="T140" s="4"/>
      <c r="U140" s="13"/>
      <c r="AO140" s="10"/>
      <c r="AX140" s="10"/>
      <c r="AY140" s="10"/>
    </row>
    <row r="141" spans="2:51" ht="54" customHeight="1" x14ac:dyDescent="0.2">
      <c r="B141" s="13"/>
      <c r="C141" s="14"/>
      <c r="D141" s="3"/>
      <c r="E141" s="13"/>
      <c r="F141" s="13"/>
      <c r="G141" s="13"/>
      <c r="H141" s="13"/>
      <c r="I141" s="14"/>
      <c r="J141" s="13"/>
      <c r="K141" s="13"/>
      <c r="L141" s="13"/>
      <c r="M141" s="14"/>
      <c r="N141" s="13"/>
      <c r="O141" s="14"/>
      <c r="P141" s="13"/>
      <c r="Q141" s="13"/>
      <c r="R141" s="14"/>
      <c r="S141" s="13"/>
      <c r="T141" s="4"/>
      <c r="U141" s="13"/>
      <c r="AO141" s="10"/>
      <c r="AX141" s="10"/>
      <c r="AY141" s="10"/>
    </row>
    <row r="142" spans="2:51" ht="54" customHeight="1" x14ac:dyDescent="0.2">
      <c r="B142" s="13"/>
      <c r="C142" s="14"/>
      <c r="D142" s="3"/>
      <c r="E142" s="13"/>
      <c r="F142" s="13"/>
      <c r="G142" s="13"/>
      <c r="H142" s="13"/>
      <c r="I142" s="14"/>
      <c r="J142" s="13"/>
      <c r="K142" s="13"/>
      <c r="L142" s="13"/>
      <c r="M142" s="14"/>
      <c r="N142" s="13"/>
      <c r="O142" s="14"/>
      <c r="P142" s="13"/>
      <c r="Q142" s="13"/>
      <c r="R142" s="14"/>
      <c r="S142" s="13"/>
      <c r="T142" s="4"/>
      <c r="U142" s="13"/>
      <c r="AO142" s="10"/>
      <c r="AX142" s="10"/>
      <c r="AY142" s="10"/>
    </row>
    <row r="143" spans="2:51" ht="54" customHeight="1" x14ac:dyDescent="0.2">
      <c r="B143" s="13"/>
      <c r="C143" s="14"/>
      <c r="D143" s="3"/>
      <c r="E143" s="13"/>
      <c r="F143" s="13"/>
      <c r="G143" s="13"/>
      <c r="H143" s="13"/>
      <c r="I143" s="14"/>
      <c r="J143" s="13"/>
      <c r="K143" s="13"/>
      <c r="L143" s="13"/>
      <c r="M143" s="13"/>
      <c r="N143" s="13"/>
      <c r="O143" s="14"/>
      <c r="P143" s="13"/>
      <c r="Q143" s="13"/>
      <c r="R143" s="14"/>
      <c r="S143" s="13"/>
      <c r="T143" s="4"/>
      <c r="U143" s="13"/>
      <c r="AO143" s="10"/>
      <c r="AX143" s="10"/>
      <c r="AY143" s="10"/>
    </row>
    <row r="144" spans="2:51" ht="54" customHeight="1" x14ac:dyDescent="0.2">
      <c r="B144" s="13"/>
      <c r="C144" s="14"/>
      <c r="D144" s="3"/>
      <c r="E144" s="13"/>
      <c r="F144" s="13"/>
      <c r="G144" s="13"/>
      <c r="H144" s="13"/>
      <c r="I144" s="14"/>
      <c r="J144" s="13"/>
      <c r="K144" s="13"/>
      <c r="L144" s="13"/>
      <c r="M144" s="13"/>
      <c r="N144" s="13"/>
      <c r="O144" s="14"/>
      <c r="P144" s="13"/>
      <c r="Q144" s="13"/>
      <c r="R144" s="14"/>
      <c r="S144" s="13"/>
      <c r="T144" s="4"/>
      <c r="U144" s="13"/>
      <c r="AO144" s="10"/>
      <c r="AX144" s="10"/>
      <c r="AY144" s="10"/>
    </row>
    <row r="145" spans="2:51" ht="54" customHeight="1" x14ac:dyDescent="0.2">
      <c r="B145" s="13"/>
      <c r="C145" s="14"/>
      <c r="D145" s="3"/>
      <c r="E145" s="13"/>
      <c r="F145" s="13"/>
      <c r="G145" s="13"/>
      <c r="H145" s="13"/>
      <c r="I145" s="14"/>
      <c r="J145" s="13"/>
      <c r="K145" s="13"/>
      <c r="L145" s="15"/>
      <c r="M145" s="15"/>
      <c r="N145" s="13"/>
      <c r="O145" s="14"/>
      <c r="P145" s="13"/>
      <c r="Q145" s="13"/>
      <c r="R145" s="14"/>
      <c r="S145" s="13"/>
      <c r="T145" s="4"/>
      <c r="U145" s="13"/>
      <c r="AO145" s="10"/>
      <c r="AX145" s="10"/>
    </row>
    <row r="146" spans="2:51" ht="54" customHeight="1" x14ac:dyDescent="0.2">
      <c r="B146" s="13"/>
      <c r="C146" s="14"/>
      <c r="D146" s="3"/>
      <c r="E146" s="13"/>
      <c r="F146" s="13"/>
      <c r="G146" s="13"/>
      <c r="H146" s="13"/>
      <c r="I146" s="14"/>
      <c r="J146" s="13"/>
      <c r="K146" s="13"/>
      <c r="L146" s="15"/>
      <c r="M146" s="15"/>
      <c r="N146" s="13"/>
      <c r="O146" s="14"/>
      <c r="P146" s="13"/>
      <c r="Q146" s="13"/>
      <c r="R146" s="14"/>
      <c r="S146" s="13"/>
      <c r="T146" s="4"/>
      <c r="U146" s="13"/>
      <c r="AO146" s="10"/>
      <c r="AY146" s="5"/>
    </row>
    <row r="147" spans="2:51" ht="54" customHeight="1" x14ac:dyDescent="0.2">
      <c r="B147" s="13"/>
      <c r="C147" s="14"/>
      <c r="D147" s="3"/>
      <c r="E147" s="13"/>
      <c r="F147" s="13"/>
      <c r="G147" s="13"/>
      <c r="H147" s="13"/>
      <c r="I147" s="14"/>
      <c r="J147" s="13"/>
      <c r="K147" s="13"/>
      <c r="L147" s="13"/>
      <c r="M147" s="14"/>
      <c r="N147" s="13"/>
      <c r="O147" s="14"/>
      <c r="P147" s="13"/>
      <c r="Q147" s="13"/>
      <c r="R147" s="14"/>
      <c r="S147" s="13"/>
      <c r="T147" s="4"/>
      <c r="U147" s="13"/>
      <c r="AO147" s="10"/>
      <c r="AX147" s="5"/>
      <c r="AY147" s="10"/>
    </row>
    <row r="148" spans="2:51" ht="54" customHeight="1" x14ac:dyDescent="0.2">
      <c r="B148" s="13"/>
      <c r="C148" s="14"/>
      <c r="D148" s="3"/>
      <c r="E148" s="13"/>
      <c r="F148" s="13"/>
      <c r="G148" s="13"/>
      <c r="H148" s="13"/>
      <c r="I148" s="14"/>
      <c r="J148" s="13"/>
      <c r="K148" s="13"/>
      <c r="L148" s="13"/>
      <c r="M148" s="14"/>
      <c r="N148" s="13"/>
      <c r="O148" s="14"/>
      <c r="P148" s="13"/>
      <c r="Q148" s="13"/>
      <c r="R148" s="14"/>
      <c r="S148" s="13"/>
      <c r="T148" s="4"/>
      <c r="U148" s="13"/>
      <c r="AX148" s="10"/>
      <c r="AY148" s="10"/>
    </row>
    <row r="149" spans="2:51" ht="54" customHeight="1" x14ac:dyDescent="0.2">
      <c r="B149" s="13"/>
      <c r="C149" s="13"/>
      <c r="D149" s="3"/>
      <c r="E149" s="13"/>
      <c r="F149" s="13"/>
      <c r="G149" s="13"/>
      <c r="H149" s="13"/>
      <c r="I149" s="13"/>
      <c r="J149" s="13"/>
      <c r="K149" s="13"/>
      <c r="L149" s="13"/>
      <c r="M149" s="13"/>
      <c r="N149" s="13"/>
      <c r="O149" s="14"/>
      <c r="P149" s="13"/>
      <c r="Q149" s="13"/>
      <c r="R149" s="14"/>
      <c r="S149" s="13"/>
      <c r="T149" s="4"/>
      <c r="U149" s="13"/>
      <c r="AO149" s="5"/>
      <c r="AX149" s="10"/>
      <c r="AY149" s="10"/>
    </row>
    <row r="150" spans="2:51" ht="54" customHeight="1" x14ac:dyDescent="0.2">
      <c r="B150" s="13"/>
      <c r="C150" s="13"/>
      <c r="D150" s="3"/>
      <c r="E150" s="13"/>
      <c r="F150" s="13"/>
      <c r="G150" s="13"/>
      <c r="H150" s="13"/>
      <c r="I150" s="13"/>
      <c r="J150" s="13"/>
      <c r="K150" s="13"/>
      <c r="L150" s="13"/>
      <c r="M150" s="13"/>
      <c r="N150" s="13"/>
      <c r="O150" s="14"/>
      <c r="P150" s="13"/>
      <c r="Q150" s="13"/>
      <c r="R150" s="14"/>
      <c r="S150" s="13"/>
      <c r="T150" s="4"/>
      <c r="U150" s="13"/>
      <c r="AO150" s="10"/>
      <c r="AX150" s="10"/>
      <c r="AY150" s="10"/>
    </row>
    <row r="151" spans="2:51" ht="54" customHeight="1" x14ac:dyDescent="0.2">
      <c r="B151" s="13"/>
      <c r="C151" s="13"/>
      <c r="D151" s="3"/>
      <c r="E151" s="13"/>
      <c r="F151" s="13"/>
      <c r="G151" s="13"/>
      <c r="H151" s="13"/>
      <c r="I151" s="13"/>
      <c r="J151" s="13"/>
      <c r="K151" s="13"/>
      <c r="L151" s="13"/>
      <c r="M151" s="13"/>
      <c r="N151" s="13"/>
      <c r="O151" s="14"/>
      <c r="P151" s="13"/>
      <c r="Q151" s="13"/>
      <c r="R151" s="14"/>
      <c r="S151" s="13"/>
      <c r="T151" s="4"/>
      <c r="U151" s="13"/>
      <c r="AO151" s="10"/>
      <c r="AX151" s="10"/>
      <c r="AY151" s="10"/>
    </row>
    <row r="152" spans="2:51" ht="54" customHeight="1" x14ac:dyDescent="0.2">
      <c r="B152" s="13"/>
      <c r="C152" s="13"/>
      <c r="D152" s="3"/>
      <c r="E152" s="13"/>
      <c r="F152" s="13"/>
      <c r="G152" s="13"/>
      <c r="H152" s="13"/>
      <c r="I152" s="13"/>
      <c r="J152" s="13"/>
      <c r="K152" s="13"/>
      <c r="L152" s="13"/>
      <c r="M152" s="13"/>
      <c r="N152" s="13"/>
      <c r="O152" s="14"/>
      <c r="P152" s="13"/>
      <c r="Q152" s="13"/>
      <c r="R152" s="14"/>
      <c r="S152" s="13"/>
      <c r="T152" s="4"/>
      <c r="U152" s="13"/>
      <c r="AO152" s="10"/>
      <c r="AX152" s="10"/>
      <c r="AY152" s="10"/>
    </row>
    <row r="153" spans="2:51" ht="54" customHeight="1" x14ac:dyDescent="0.2">
      <c r="B153" s="13"/>
      <c r="C153" s="13"/>
      <c r="D153" s="3"/>
      <c r="E153" s="13"/>
      <c r="F153" s="13"/>
      <c r="G153" s="13"/>
      <c r="H153" s="13"/>
      <c r="I153" s="13"/>
      <c r="J153" s="13"/>
      <c r="K153" s="13"/>
      <c r="L153" s="13"/>
      <c r="M153" s="13"/>
      <c r="N153" s="13"/>
      <c r="O153" s="14"/>
      <c r="P153" s="13"/>
      <c r="Q153" s="13"/>
      <c r="R153" s="14"/>
      <c r="S153" s="13"/>
      <c r="T153" s="4"/>
      <c r="U153" s="13"/>
      <c r="AO153" s="10"/>
      <c r="AX153" s="10"/>
      <c r="AY153" s="10"/>
    </row>
    <row r="154" spans="2:51" ht="54" customHeight="1" x14ac:dyDescent="0.2">
      <c r="B154" s="13"/>
      <c r="C154" s="13"/>
      <c r="D154" s="3"/>
      <c r="E154" s="13"/>
      <c r="F154" s="13"/>
      <c r="G154" s="13"/>
      <c r="H154" s="13"/>
      <c r="I154" s="13"/>
      <c r="J154" s="13"/>
      <c r="K154" s="13"/>
      <c r="L154" s="13"/>
      <c r="M154" s="13"/>
      <c r="N154" s="13"/>
      <c r="O154" s="14"/>
      <c r="P154" s="13"/>
      <c r="Q154" s="13"/>
      <c r="R154" s="14"/>
      <c r="S154" s="13"/>
      <c r="T154" s="4"/>
      <c r="U154" s="13"/>
      <c r="AO154" s="10"/>
      <c r="AX154" s="10"/>
      <c r="AY154" s="10"/>
    </row>
    <row r="155" spans="2:51" ht="54" customHeight="1" x14ac:dyDescent="0.2">
      <c r="B155" s="13"/>
      <c r="C155" s="13"/>
      <c r="D155" s="3"/>
      <c r="E155" s="13"/>
      <c r="F155" s="13"/>
      <c r="G155" s="13"/>
      <c r="H155" s="13"/>
      <c r="I155" s="13"/>
      <c r="J155" s="13"/>
      <c r="K155" s="13"/>
      <c r="L155" s="13"/>
      <c r="M155" s="13"/>
      <c r="N155" s="13"/>
      <c r="O155" s="14"/>
      <c r="P155" s="13"/>
      <c r="Q155" s="13"/>
      <c r="R155" s="14"/>
      <c r="S155" s="13"/>
      <c r="T155" s="4"/>
      <c r="U155" s="13"/>
      <c r="AO155" s="10"/>
      <c r="AX155" s="10"/>
      <c r="AY155" s="10"/>
    </row>
    <row r="156" spans="2:51" ht="54" customHeight="1" x14ac:dyDescent="0.2">
      <c r="B156" s="13"/>
      <c r="C156" s="13"/>
      <c r="D156" s="3"/>
      <c r="E156" s="13"/>
      <c r="F156" s="13"/>
      <c r="G156" s="13"/>
      <c r="H156" s="13"/>
      <c r="I156" s="13"/>
      <c r="J156" s="13"/>
      <c r="K156" s="13"/>
      <c r="L156" s="13"/>
      <c r="M156" s="13"/>
      <c r="N156" s="13"/>
      <c r="O156" s="14"/>
      <c r="P156" s="13"/>
      <c r="Q156" s="13"/>
      <c r="R156" s="14"/>
      <c r="S156" s="13"/>
      <c r="T156" s="4"/>
      <c r="U156" s="13"/>
      <c r="AO156" s="10"/>
      <c r="AX156" s="10"/>
    </row>
    <row r="157" spans="2:51" ht="54" customHeight="1" x14ac:dyDescent="0.2">
      <c r="B157" s="13"/>
      <c r="C157" s="13"/>
      <c r="D157" s="3"/>
      <c r="E157" s="13"/>
      <c r="F157" s="13"/>
      <c r="G157" s="13"/>
      <c r="H157" s="13"/>
      <c r="I157" s="13"/>
      <c r="J157" s="13"/>
      <c r="K157" s="13"/>
      <c r="L157" s="13"/>
      <c r="M157" s="13"/>
      <c r="N157" s="13"/>
      <c r="O157" s="14"/>
      <c r="P157" s="13"/>
      <c r="Q157" s="13"/>
      <c r="R157" s="14"/>
      <c r="S157" s="13"/>
      <c r="T157" s="4"/>
      <c r="U157" s="13"/>
      <c r="AO157" s="10"/>
      <c r="AY157" s="5"/>
    </row>
    <row r="158" spans="2:51" ht="54" customHeight="1" x14ac:dyDescent="0.2">
      <c r="B158" s="13"/>
      <c r="C158" s="13"/>
      <c r="D158" s="3"/>
      <c r="E158" s="13"/>
      <c r="F158" s="13"/>
      <c r="G158" s="13"/>
      <c r="H158" s="13"/>
      <c r="I158" s="13"/>
      <c r="J158" s="13"/>
      <c r="K158" s="13"/>
      <c r="L158" s="13"/>
      <c r="M158" s="13"/>
      <c r="N158" s="13"/>
      <c r="O158" s="14"/>
      <c r="P158" s="13"/>
      <c r="Q158" s="13"/>
      <c r="R158" s="14"/>
      <c r="S158" s="13"/>
      <c r="T158" s="4"/>
      <c r="U158" s="13"/>
      <c r="AO158" s="10"/>
      <c r="AX158" s="5"/>
      <c r="AY158" s="10"/>
    </row>
    <row r="159" spans="2:51" ht="54" customHeight="1" x14ac:dyDescent="0.2">
      <c r="B159" s="13"/>
      <c r="C159" s="13"/>
      <c r="D159" s="3"/>
      <c r="E159" s="13"/>
      <c r="F159" s="13"/>
      <c r="G159" s="13"/>
      <c r="H159" s="13"/>
      <c r="I159" s="13"/>
      <c r="J159" s="13"/>
      <c r="K159" s="13"/>
      <c r="L159" s="13"/>
      <c r="M159" s="13"/>
      <c r="N159" s="13"/>
      <c r="O159" s="14"/>
      <c r="P159" s="13"/>
      <c r="Q159" s="13"/>
      <c r="R159" s="14"/>
      <c r="S159" s="13"/>
      <c r="T159" s="4"/>
      <c r="U159" s="13"/>
      <c r="AX159" s="10"/>
      <c r="AY159" s="10"/>
    </row>
    <row r="160" spans="2:51" ht="54" customHeight="1" x14ac:dyDescent="0.2">
      <c r="B160" s="13"/>
      <c r="C160" s="13"/>
      <c r="D160" s="3"/>
      <c r="E160" s="13"/>
      <c r="F160" s="13"/>
      <c r="G160" s="13"/>
      <c r="H160" s="13"/>
      <c r="I160" s="13"/>
      <c r="J160" s="13"/>
      <c r="K160" s="13"/>
      <c r="L160" s="13"/>
      <c r="M160" s="13"/>
      <c r="N160" s="13"/>
      <c r="O160" s="14"/>
      <c r="P160" s="13"/>
      <c r="Q160" s="13"/>
      <c r="R160" s="14"/>
      <c r="S160" s="13"/>
      <c r="T160" s="4"/>
      <c r="U160" s="13"/>
      <c r="AO160" s="5"/>
      <c r="AX160" s="10"/>
      <c r="AY160" s="10"/>
    </row>
    <row r="161" spans="2:51" ht="54" customHeight="1" x14ac:dyDescent="0.2">
      <c r="B161" s="13"/>
      <c r="C161" s="13"/>
      <c r="D161" s="3"/>
      <c r="E161" s="13"/>
      <c r="F161" s="13"/>
      <c r="G161" s="13"/>
      <c r="H161" s="13"/>
      <c r="I161" s="13"/>
      <c r="J161" s="13"/>
      <c r="K161" s="13"/>
      <c r="L161" s="13"/>
      <c r="M161" s="13"/>
      <c r="N161" s="13"/>
      <c r="O161" s="14"/>
      <c r="P161" s="13"/>
      <c r="Q161" s="13"/>
      <c r="R161" s="14"/>
      <c r="S161" s="13"/>
      <c r="T161" s="4"/>
      <c r="U161" s="13"/>
      <c r="AO161" s="10"/>
      <c r="AX161" s="10"/>
      <c r="AY161" s="10"/>
    </row>
    <row r="162" spans="2:51" ht="54" customHeight="1" x14ac:dyDescent="0.2">
      <c r="B162" s="13"/>
      <c r="C162" s="13"/>
      <c r="D162" s="3"/>
      <c r="E162" s="13"/>
      <c r="F162" s="13"/>
      <c r="G162" s="13"/>
      <c r="H162" s="13"/>
      <c r="I162" s="13"/>
      <c r="J162" s="13"/>
      <c r="K162" s="13"/>
      <c r="L162" s="13"/>
      <c r="M162" s="13"/>
      <c r="N162" s="13"/>
      <c r="O162" s="14"/>
      <c r="P162" s="13"/>
      <c r="Q162" s="13"/>
      <c r="R162" s="14"/>
      <c r="S162" s="13"/>
      <c r="T162" s="4"/>
      <c r="U162" s="13"/>
      <c r="AO162" s="10"/>
      <c r="AX162" s="10"/>
      <c r="AY162" s="10"/>
    </row>
    <row r="163" spans="2:51" ht="54" customHeight="1" x14ac:dyDescent="0.2">
      <c r="B163" s="13"/>
      <c r="C163" s="13"/>
      <c r="D163" s="3"/>
      <c r="E163" s="13"/>
      <c r="F163" s="13"/>
      <c r="G163" s="13"/>
      <c r="H163" s="13"/>
      <c r="I163" s="13"/>
      <c r="J163" s="13"/>
      <c r="K163" s="13"/>
      <c r="L163" s="13"/>
      <c r="M163" s="13"/>
      <c r="N163" s="13"/>
      <c r="O163" s="14"/>
      <c r="P163" s="13"/>
      <c r="Q163" s="13"/>
      <c r="R163" s="14"/>
      <c r="S163" s="13"/>
      <c r="T163" s="4"/>
      <c r="U163" s="13"/>
      <c r="AO163" s="10"/>
      <c r="AX163" s="10"/>
      <c r="AY163" s="10"/>
    </row>
    <row r="164" spans="2:51" ht="54" customHeight="1" x14ac:dyDescent="0.2">
      <c r="B164" s="13"/>
      <c r="C164" s="13"/>
      <c r="D164" s="3"/>
      <c r="E164" s="13"/>
      <c r="F164" s="13"/>
      <c r="G164" s="13"/>
      <c r="H164" s="13"/>
      <c r="I164" s="13"/>
      <c r="J164" s="13"/>
      <c r="K164" s="13"/>
      <c r="L164" s="13"/>
      <c r="M164" s="13"/>
      <c r="N164" s="13"/>
      <c r="O164" s="14"/>
      <c r="P164" s="13"/>
      <c r="Q164" s="13"/>
      <c r="R164" s="14"/>
      <c r="S164" s="13"/>
      <c r="T164" s="4"/>
      <c r="U164" s="13"/>
      <c r="AO164" s="10"/>
      <c r="AX164" s="10"/>
      <c r="AY164" s="10"/>
    </row>
    <row r="165" spans="2:51" ht="54" customHeight="1" x14ac:dyDescent="0.2">
      <c r="B165" s="13"/>
      <c r="C165" s="13"/>
      <c r="D165" s="3"/>
      <c r="E165" s="13"/>
      <c r="F165" s="13"/>
      <c r="G165" s="13"/>
      <c r="H165" s="13"/>
      <c r="I165" s="13"/>
      <c r="J165" s="13"/>
      <c r="K165" s="13"/>
      <c r="L165" s="13"/>
      <c r="M165" s="13"/>
      <c r="N165" s="13"/>
      <c r="O165" s="14"/>
      <c r="P165" s="13"/>
      <c r="Q165" s="13"/>
      <c r="R165" s="14"/>
      <c r="S165" s="13"/>
      <c r="T165" s="4"/>
      <c r="U165" s="13"/>
      <c r="AO165" s="10"/>
      <c r="AX165" s="10"/>
      <c r="AY165" s="10"/>
    </row>
    <row r="166" spans="2:51" ht="54" customHeight="1" x14ac:dyDescent="0.2">
      <c r="B166" s="13"/>
      <c r="C166" s="13"/>
      <c r="D166" s="3"/>
      <c r="E166" s="13"/>
      <c r="F166" s="13"/>
      <c r="G166" s="13"/>
      <c r="H166" s="13"/>
      <c r="I166" s="13"/>
      <c r="J166" s="13"/>
      <c r="K166" s="13"/>
      <c r="L166" s="13"/>
      <c r="M166" s="13"/>
      <c r="N166" s="13"/>
      <c r="O166" s="14"/>
      <c r="P166" s="13"/>
      <c r="Q166" s="13"/>
      <c r="R166" s="14"/>
      <c r="S166" s="13"/>
      <c r="T166" s="4"/>
      <c r="U166" s="13"/>
      <c r="AO166" s="10"/>
      <c r="AX166" s="10"/>
    </row>
    <row r="167" spans="2:51" ht="54" customHeight="1" x14ac:dyDescent="0.2">
      <c r="B167" s="13"/>
      <c r="C167" s="13"/>
      <c r="D167" s="3"/>
      <c r="E167" s="13"/>
      <c r="F167" s="13"/>
      <c r="G167" s="13"/>
      <c r="H167" s="13"/>
      <c r="I167" s="13"/>
      <c r="J167" s="13"/>
      <c r="K167" s="13"/>
      <c r="L167" s="13"/>
      <c r="M167" s="13"/>
      <c r="N167" s="13"/>
      <c r="O167" s="14"/>
      <c r="P167" s="13"/>
      <c r="Q167" s="13"/>
      <c r="R167" s="14"/>
      <c r="S167" s="13"/>
      <c r="T167" s="4"/>
      <c r="U167" s="13"/>
      <c r="AO167" s="10"/>
      <c r="AY167" s="5"/>
    </row>
    <row r="168" spans="2:51" ht="54" customHeight="1" x14ac:dyDescent="0.2">
      <c r="B168" s="13"/>
      <c r="C168" s="13"/>
      <c r="D168" s="3"/>
      <c r="E168" s="13"/>
      <c r="F168" s="13"/>
      <c r="G168" s="13"/>
      <c r="H168" s="13"/>
      <c r="I168" s="13"/>
      <c r="J168" s="13"/>
      <c r="K168" s="13"/>
      <c r="L168" s="13"/>
      <c r="M168" s="13"/>
      <c r="N168" s="13"/>
      <c r="O168" s="14"/>
      <c r="P168" s="13"/>
      <c r="Q168" s="13"/>
      <c r="R168" s="14"/>
      <c r="S168" s="13"/>
      <c r="T168" s="4"/>
      <c r="U168" s="13"/>
      <c r="AO168" s="10"/>
      <c r="AX168" s="5"/>
      <c r="AY168" s="10"/>
    </row>
    <row r="169" spans="2:51" ht="54" customHeight="1" x14ac:dyDescent="0.2">
      <c r="B169" s="13"/>
      <c r="C169" s="13"/>
      <c r="D169" s="3"/>
      <c r="E169" s="13"/>
      <c r="F169" s="13"/>
      <c r="G169" s="13"/>
      <c r="H169" s="13"/>
      <c r="I169" s="13"/>
      <c r="J169" s="13"/>
      <c r="K169" s="13"/>
      <c r="L169" s="13"/>
      <c r="M169" s="13"/>
      <c r="N169" s="13"/>
      <c r="O169" s="14"/>
      <c r="P169" s="13"/>
      <c r="Q169" s="13"/>
      <c r="R169" s="14"/>
      <c r="S169" s="13"/>
      <c r="T169" s="4"/>
      <c r="U169" s="13"/>
      <c r="AX169" s="10"/>
      <c r="AY169" s="10"/>
    </row>
    <row r="170" spans="2:51" ht="54" customHeight="1" x14ac:dyDescent="0.2">
      <c r="B170" s="13"/>
      <c r="C170" s="13"/>
      <c r="D170" s="3"/>
      <c r="E170" s="13"/>
      <c r="F170" s="13"/>
      <c r="G170" s="13"/>
      <c r="H170" s="13"/>
      <c r="I170" s="13"/>
      <c r="J170" s="13"/>
      <c r="K170" s="13"/>
      <c r="L170" s="13"/>
      <c r="M170" s="13"/>
      <c r="N170" s="13"/>
      <c r="O170" s="14"/>
      <c r="P170" s="13"/>
      <c r="Q170" s="13"/>
      <c r="R170" s="14"/>
      <c r="S170" s="13"/>
      <c r="T170" s="4"/>
      <c r="U170" s="13"/>
      <c r="AO170" s="5"/>
      <c r="AX170" s="10"/>
      <c r="AY170" s="10"/>
    </row>
    <row r="171" spans="2:51" ht="54" customHeight="1" x14ac:dyDescent="0.2">
      <c r="B171" s="13"/>
      <c r="C171" s="13"/>
      <c r="D171" s="3"/>
      <c r="E171" s="13"/>
      <c r="F171" s="13"/>
      <c r="G171" s="13"/>
      <c r="H171" s="13"/>
      <c r="I171" s="13"/>
      <c r="J171" s="13"/>
      <c r="K171" s="13"/>
      <c r="L171" s="13"/>
      <c r="M171" s="13"/>
      <c r="N171" s="13"/>
      <c r="O171" s="14"/>
      <c r="P171" s="13"/>
      <c r="Q171" s="13"/>
      <c r="R171" s="14"/>
      <c r="S171" s="13"/>
      <c r="T171" s="4"/>
      <c r="U171" s="13"/>
      <c r="AO171" s="10"/>
      <c r="AX171" s="10"/>
      <c r="AY171" s="10"/>
    </row>
    <row r="172" spans="2:51" ht="54" customHeight="1" x14ac:dyDescent="0.2">
      <c r="B172" s="13"/>
      <c r="C172" s="13"/>
      <c r="D172" s="3"/>
      <c r="E172" s="13"/>
      <c r="F172" s="13"/>
      <c r="G172" s="13"/>
      <c r="H172" s="13"/>
      <c r="I172" s="13"/>
      <c r="J172" s="13"/>
      <c r="K172" s="13"/>
      <c r="L172" s="13"/>
      <c r="M172" s="13"/>
      <c r="N172" s="13"/>
      <c r="O172" s="14"/>
      <c r="P172" s="13"/>
      <c r="Q172" s="13"/>
      <c r="R172" s="14"/>
      <c r="S172" s="13"/>
      <c r="T172" s="4"/>
      <c r="U172" s="13"/>
      <c r="AO172" s="10"/>
      <c r="AX172" s="10"/>
      <c r="AY172" s="10"/>
    </row>
    <row r="173" spans="2:51" ht="54" customHeight="1" x14ac:dyDescent="0.2">
      <c r="B173" s="13"/>
      <c r="C173" s="13"/>
      <c r="D173" s="3"/>
      <c r="E173" s="13"/>
      <c r="F173" s="13"/>
      <c r="G173" s="13"/>
      <c r="H173" s="13"/>
      <c r="I173" s="13"/>
      <c r="J173" s="13"/>
      <c r="K173" s="13"/>
      <c r="L173" s="13"/>
      <c r="M173" s="13"/>
      <c r="N173" s="13"/>
      <c r="O173" s="14"/>
      <c r="P173" s="13"/>
      <c r="Q173" s="13"/>
      <c r="R173" s="14"/>
      <c r="S173" s="13"/>
      <c r="T173" s="4"/>
      <c r="U173" s="13"/>
      <c r="AO173" s="10"/>
      <c r="AX173" s="10"/>
      <c r="AY173" s="10"/>
    </row>
    <row r="174" spans="2:51" ht="54" customHeight="1" x14ac:dyDescent="0.2">
      <c r="B174" s="13"/>
      <c r="C174" s="13"/>
      <c r="D174" s="3"/>
      <c r="E174" s="13"/>
      <c r="F174" s="13"/>
      <c r="G174" s="13"/>
      <c r="H174" s="13"/>
      <c r="I174" s="13"/>
      <c r="J174" s="13"/>
      <c r="K174" s="13"/>
      <c r="L174" s="13"/>
      <c r="M174" s="13"/>
      <c r="N174" s="13"/>
      <c r="O174" s="14"/>
      <c r="P174" s="13"/>
      <c r="Q174" s="13"/>
      <c r="R174" s="14"/>
      <c r="S174" s="13"/>
      <c r="T174" s="4"/>
      <c r="U174" s="13"/>
      <c r="AO174" s="10"/>
      <c r="AX174" s="10"/>
    </row>
    <row r="175" spans="2:51" ht="54" customHeight="1" x14ac:dyDescent="0.2">
      <c r="B175" s="13"/>
      <c r="C175" s="13"/>
      <c r="D175" s="3"/>
      <c r="E175" s="13"/>
      <c r="F175" s="13"/>
      <c r="G175" s="13"/>
      <c r="H175" s="13"/>
      <c r="I175" s="13"/>
      <c r="J175" s="13"/>
      <c r="K175" s="13"/>
      <c r="L175" s="13"/>
      <c r="M175" s="13"/>
      <c r="N175" s="13"/>
      <c r="O175" s="14"/>
      <c r="P175" s="13"/>
      <c r="Q175" s="13"/>
      <c r="R175" s="14"/>
      <c r="S175" s="13"/>
      <c r="T175" s="4"/>
      <c r="U175" s="13"/>
      <c r="AO175" s="10"/>
      <c r="AY175" s="5"/>
    </row>
    <row r="176" spans="2:51" ht="54" customHeight="1" x14ac:dyDescent="0.2">
      <c r="B176" s="13"/>
      <c r="C176" s="13"/>
      <c r="D176" s="3"/>
      <c r="E176" s="13"/>
      <c r="F176" s="13"/>
      <c r="G176" s="13"/>
      <c r="H176" s="13"/>
      <c r="I176" s="13"/>
      <c r="J176" s="13"/>
      <c r="K176" s="13"/>
      <c r="L176" s="13"/>
      <c r="M176" s="13"/>
      <c r="N176" s="13"/>
      <c r="O176" s="14"/>
      <c r="P176" s="13"/>
      <c r="Q176" s="13"/>
      <c r="R176" s="14"/>
      <c r="S176" s="13"/>
      <c r="T176" s="4"/>
      <c r="U176" s="13"/>
      <c r="AO176" s="10"/>
      <c r="AX176" s="5"/>
      <c r="AY176" s="10"/>
    </row>
    <row r="177" spans="2:51" ht="54" customHeight="1" x14ac:dyDescent="0.2">
      <c r="B177" s="13"/>
      <c r="C177" s="13"/>
      <c r="D177" s="3"/>
      <c r="E177" s="13"/>
      <c r="F177" s="13"/>
      <c r="G177" s="13"/>
      <c r="H177" s="13"/>
      <c r="I177" s="13"/>
      <c r="J177" s="13"/>
      <c r="K177" s="13"/>
      <c r="L177" s="13"/>
      <c r="M177" s="13"/>
      <c r="N177" s="13"/>
      <c r="O177" s="14"/>
      <c r="P177" s="13"/>
      <c r="Q177" s="13"/>
      <c r="R177" s="14"/>
      <c r="S177" s="13"/>
      <c r="T177" s="4"/>
      <c r="U177" s="13"/>
      <c r="AX177" s="10"/>
      <c r="AY177" s="10"/>
    </row>
    <row r="178" spans="2:51" ht="54" customHeight="1" x14ac:dyDescent="0.2">
      <c r="B178" s="13"/>
      <c r="C178" s="13"/>
      <c r="D178" s="3"/>
      <c r="E178" s="13"/>
      <c r="F178" s="13"/>
      <c r="G178" s="13"/>
      <c r="H178" s="13"/>
      <c r="I178" s="13"/>
      <c r="J178" s="13"/>
      <c r="K178" s="13"/>
      <c r="L178" s="13"/>
      <c r="M178" s="13"/>
      <c r="N178" s="13"/>
      <c r="O178" s="14"/>
      <c r="P178" s="13"/>
      <c r="Q178" s="13"/>
      <c r="R178" s="14"/>
      <c r="S178" s="13"/>
      <c r="T178" s="4"/>
      <c r="U178" s="13"/>
      <c r="AO178" s="5"/>
      <c r="AX178" s="10"/>
      <c r="AY178" s="10"/>
    </row>
    <row r="179" spans="2:51" ht="54" customHeight="1" x14ac:dyDescent="0.2">
      <c r="B179" s="13"/>
      <c r="C179" s="13"/>
      <c r="D179" s="3"/>
      <c r="E179" s="13"/>
      <c r="F179" s="13"/>
      <c r="G179" s="13"/>
      <c r="H179" s="13"/>
      <c r="I179" s="13"/>
      <c r="J179" s="13"/>
      <c r="K179" s="13"/>
      <c r="L179" s="13"/>
      <c r="M179" s="13"/>
      <c r="N179" s="13"/>
      <c r="O179" s="14"/>
      <c r="P179" s="13"/>
      <c r="Q179" s="13"/>
      <c r="R179" s="14"/>
      <c r="S179" s="13"/>
      <c r="T179" s="4"/>
      <c r="U179" s="13"/>
      <c r="AO179" s="10"/>
      <c r="AX179" s="10"/>
      <c r="AY179" s="10"/>
    </row>
    <row r="180" spans="2:51" ht="54" customHeight="1" x14ac:dyDescent="0.2">
      <c r="B180" s="13"/>
      <c r="C180" s="13"/>
      <c r="D180" s="3"/>
      <c r="E180" s="13"/>
      <c r="F180" s="13"/>
      <c r="G180" s="13"/>
      <c r="H180" s="13"/>
      <c r="I180" s="13"/>
      <c r="J180" s="13"/>
      <c r="K180" s="13"/>
      <c r="L180" s="13"/>
      <c r="M180" s="13"/>
      <c r="N180" s="13"/>
      <c r="O180" s="14"/>
      <c r="P180" s="13"/>
      <c r="Q180" s="13"/>
      <c r="R180" s="14"/>
      <c r="S180" s="13"/>
      <c r="T180" s="4"/>
      <c r="U180" s="13"/>
      <c r="AO180" s="10"/>
      <c r="AX180" s="10"/>
      <c r="AY180" s="10"/>
    </row>
    <row r="181" spans="2:51" ht="54" customHeight="1" x14ac:dyDescent="0.2">
      <c r="B181" s="13"/>
      <c r="C181" s="13"/>
      <c r="D181" s="3"/>
      <c r="E181" s="13"/>
      <c r="F181" s="13"/>
      <c r="G181" s="13"/>
      <c r="H181" s="13"/>
      <c r="I181" s="13"/>
      <c r="J181" s="13"/>
      <c r="K181" s="13"/>
      <c r="L181" s="13"/>
      <c r="M181" s="13"/>
      <c r="N181" s="13"/>
      <c r="O181" s="14"/>
      <c r="P181" s="13"/>
      <c r="Q181" s="13"/>
      <c r="R181" s="14"/>
      <c r="S181" s="13"/>
      <c r="T181" s="4"/>
      <c r="U181" s="13"/>
      <c r="AO181" s="10"/>
      <c r="AX181" s="10"/>
      <c r="AY181" s="10"/>
    </row>
    <row r="182" spans="2:51" ht="54" customHeight="1" x14ac:dyDescent="0.2">
      <c r="B182" s="13"/>
      <c r="C182" s="13"/>
      <c r="D182" s="3"/>
      <c r="E182" s="13"/>
      <c r="F182" s="13"/>
      <c r="G182" s="13"/>
      <c r="H182" s="13"/>
      <c r="I182" s="13"/>
      <c r="J182" s="13"/>
      <c r="K182" s="13"/>
      <c r="L182" s="13"/>
      <c r="M182" s="13"/>
      <c r="N182" s="13"/>
      <c r="O182" s="14"/>
      <c r="P182" s="13"/>
      <c r="Q182" s="13"/>
      <c r="R182" s="14"/>
      <c r="S182" s="13"/>
      <c r="T182" s="4"/>
      <c r="U182" s="13"/>
      <c r="AO182" s="10"/>
      <c r="AX182" s="10"/>
      <c r="AY182" s="10"/>
    </row>
    <row r="183" spans="2:51" ht="54" customHeight="1" x14ac:dyDescent="0.2">
      <c r="B183" s="13"/>
      <c r="C183" s="13"/>
      <c r="D183" s="3"/>
      <c r="E183" s="13"/>
      <c r="F183" s="13"/>
      <c r="G183" s="13"/>
      <c r="H183" s="13"/>
      <c r="I183" s="13"/>
      <c r="J183" s="13"/>
      <c r="K183" s="13"/>
      <c r="L183" s="13"/>
      <c r="M183" s="13"/>
      <c r="N183" s="13"/>
      <c r="O183" s="14"/>
      <c r="P183" s="13"/>
      <c r="Q183" s="13"/>
      <c r="R183" s="14"/>
      <c r="S183" s="13"/>
      <c r="T183" s="4"/>
      <c r="U183" s="13"/>
      <c r="AO183" s="10"/>
      <c r="AX183" s="10"/>
      <c r="AY183" s="10"/>
    </row>
    <row r="184" spans="2:51" ht="54" customHeight="1" x14ac:dyDescent="0.2">
      <c r="B184" s="13"/>
      <c r="C184" s="13"/>
      <c r="D184" s="3"/>
      <c r="E184" s="13"/>
      <c r="F184" s="13"/>
      <c r="G184" s="13"/>
      <c r="H184" s="13"/>
      <c r="I184" s="13"/>
      <c r="J184" s="13"/>
      <c r="K184" s="13"/>
      <c r="L184" s="13"/>
      <c r="M184" s="13"/>
      <c r="N184" s="13"/>
      <c r="O184" s="14"/>
      <c r="P184" s="13"/>
      <c r="Q184" s="13"/>
      <c r="R184" s="14"/>
      <c r="S184" s="13"/>
      <c r="T184" s="4"/>
      <c r="U184" s="13"/>
      <c r="AO184" s="10"/>
      <c r="AX184" s="10"/>
      <c r="AY184" s="10"/>
    </row>
    <row r="185" spans="2:51" ht="54" customHeight="1" x14ac:dyDescent="0.2">
      <c r="B185" s="13"/>
      <c r="C185" s="13"/>
      <c r="D185" s="3"/>
      <c r="E185" s="13"/>
      <c r="F185" s="13"/>
      <c r="G185" s="13"/>
      <c r="H185" s="13"/>
      <c r="I185" s="13"/>
      <c r="J185" s="13"/>
      <c r="K185" s="13"/>
      <c r="L185" s="13"/>
      <c r="M185" s="13"/>
      <c r="N185" s="13"/>
      <c r="O185" s="14"/>
      <c r="P185" s="13"/>
      <c r="Q185" s="13"/>
      <c r="R185" s="14"/>
      <c r="S185" s="13"/>
      <c r="T185" s="4"/>
      <c r="U185" s="13"/>
      <c r="AO185" s="10"/>
      <c r="AX185" s="10"/>
      <c r="AY185" s="10"/>
    </row>
    <row r="186" spans="2:51" ht="54" customHeight="1" x14ac:dyDescent="0.2">
      <c r="B186" s="13"/>
      <c r="C186" s="13"/>
      <c r="D186" s="3"/>
      <c r="E186" s="13"/>
      <c r="F186" s="13"/>
      <c r="G186" s="13"/>
      <c r="H186" s="13"/>
      <c r="I186" s="13"/>
      <c r="J186" s="13"/>
      <c r="K186" s="13"/>
      <c r="L186" s="13"/>
      <c r="M186" s="13"/>
      <c r="N186" s="13"/>
      <c r="O186" s="14"/>
      <c r="P186" s="13"/>
      <c r="Q186" s="13"/>
      <c r="R186" s="14"/>
      <c r="S186" s="13"/>
      <c r="T186" s="4"/>
      <c r="U186" s="13"/>
      <c r="AO186" s="10"/>
      <c r="AX186" s="10"/>
      <c r="AY186" s="10"/>
    </row>
    <row r="187" spans="2:51" ht="54" customHeight="1" x14ac:dyDescent="0.2">
      <c r="B187" s="13"/>
      <c r="C187" s="13"/>
      <c r="D187" s="3"/>
      <c r="E187" s="13"/>
      <c r="F187" s="13"/>
      <c r="G187" s="13"/>
      <c r="H187" s="13"/>
      <c r="I187" s="13"/>
      <c r="J187" s="13"/>
      <c r="K187" s="13"/>
      <c r="L187" s="13"/>
      <c r="M187" s="13"/>
      <c r="N187" s="13"/>
      <c r="O187" s="14"/>
      <c r="P187" s="13"/>
      <c r="Q187" s="13"/>
      <c r="R187" s="14"/>
      <c r="S187" s="13"/>
      <c r="T187" s="4"/>
      <c r="U187" s="13"/>
      <c r="AO187" s="10"/>
      <c r="AX187" s="10"/>
      <c r="AY187" s="10"/>
    </row>
    <row r="188" spans="2:51" ht="54" customHeight="1" x14ac:dyDescent="0.2">
      <c r="B188" s="13"/>
      <c r="C188" s="13"/>
      <c r="D188" s="3"/>
      <c r="E188" s="13"/>
      <c r="F188" s="13"/>
      <c r="G188" s="13"/>
      <c r="H188" s="13"/>
      <c r="I188" s="13"/>
      <c r="J188" s="13"/>
      <c r="K188" s="13"/>
      <c r="L188" s="13"/>
      <c r="M188" s="13"/>
      <c r="N188" s="13"/>
      <c r="O188" s="14"/>
      <c r="P188" s="13"/>
      <c r="Q188" s="13"/>
      <c r="R188" s="14"/>
      <c r="S188" s="13"/>
      <c r="T188" s="4"/>
      <c r="U188" s="13"/>
      <c r="AO188" s="10"/>
      <c r="AX188" s="10"/>
      <c r="AY188" s="10"/>
    </row>
    <row r="189" spans="2:51" ht="54" customHeight="1" x14ac:dyDescent="0.2">
      <c r="B189" s="13"/>
      <c r="C189" s="13"/>
      <c r="D189" s="3"/>
      <c r="E189" s="13"/>
      <c r="F189" s="13"/>
      <c r="G189" s="13"/>
      <c r="H189" s="13"/>
      <c r="I189" s="13"/>
      <c r="J189" s="13"/>
      <c r="K189" s="13"/>
      <c r="L189" s="13"/>
      <c r="M189" s="13"/>
      <c r="N189" s="13"/>
      <c r="O189" s="14"/>
      <c r="P189" s="13"/>
      <c r="Q189" s="13"/>
      <c r="R189" s="14"/>
      <c r="S189" s="13"/>
      <c r="T189" s="4"/>
      <c r="U189" s="13"/>
      <c r="AO189" s="10"/>
      <c r="AX189" s="10"/>
      <c r="AY189" s="10"/>
    </row>
    <row r="190" spans="2:51" ht="54" customHeight="1" x14ac:dyDescent="0.2">
      <c r="B190" s="13"/>
      <c r="C190" s="13"/>
      <c r="D190" s="3"/>
      <c r="E190" s="13"/>
      <c r="F190" s="13"/>
      <c r="G190" s="13"/>
      <c r="H190" s="13"/>
      <c r="I190" s="13"/>
      <c r="J190" s="13"/>
      <c r="K190" s="13"/>
      <c r="L190" s="13"/>
      <c r="M190" s="13"/>
      <c r="N190" s="13"/>
      <c r="O190" s="14"/>
      <c r="P190" s="13"/>
      <c r="Q190" s="13"/>
      <c r="R190" s="14"/>
      <c r="S190" s="13"/>
      <c r="T190" s="4"/>
      <c r="U190" s="13"/>
      <c r="AO190" s="10"/>
      <c r="AX190" s="10"/>
      <c r="AY190" s="10"/>
    </row>
    <row r="191" spans="2:51" ht="54" customHeight="1" x14ac:dyDescent="0.2">
      <c r="B191" s="13"/>
      <c r="C191" s="13"/>
      <c r="D191" s="3"/>
      <c r="E191" s="13"/>
      <c r="F191" s="13"/>
      <c r="G191" s="13"/>
      <c r="H191" s="13"/>
      <c r="I191" s="13"/>
      <c r="J191" s="13"/>
      <c r="K191" s="13"/>
      <c r="L191" s="13"/>
      <c r="M191" s="13"/>
      <c r="N191" s="13"/>
      <c r="O191" s="14"/>
      <c r="P191" s="13"/>
      <c r="Q191" s="13"/>
      <c r="R191" s="14"/>
      <c r="S191" s="13"/>
      <c r="T191" s="4"/>
      <c r="U191" s="13"/>
      <c r="AO191" s="10"/>
      <c r="AX191" s="10"/>
      <c r="AY191" s="10"/>
    </row>
    <row r="192" spans="2:51" ht="54" customHeight="1" x14ac:dyDescent="0.2">
      <c r="B192" s="13"/>
      <c r="C192" s="13"/>
      <c r="D192" s="3"/>
      <c r="E192" s="13"/>
      <c r="F192" s="13"/>
      <c r="G192" s="13"/>
      <c r="H192" s="13"/>
      <c r="I192" s="13"/>
      <c r="J192" s="13"/>
      <c r="K192" s="13"/>
      <c r="L192" s="13"/>
      <c r="M192" s="13"/>
      <c r="N192" s="13"/>
      <c r="O192" s="14"/>
      <c r="P192" s="13"/>
      <c r="Q192" s="13"/>
      <c r="R192" s="14"/>
      <c r="S192" s="13"/>
      <c r="T192" s="4"/>
      <c r="U192" s="13"/>
      <c r="AO192" s="10"/>
      <c r="AX192" s="10"/>
      <c r="AY192" s="10"/>
    </row>
    <row r="193" spans="2:51" ht="54" customHeight="1" x14ac:dyDescent="0.2">
      <c r="B193" s="13"/>
      <c r="C193" s="13"/>
      <c r="D193" s="3"/>
      <c r="E193" s="13"/>
      <c r="F193" s="13"/>
      <c r="G193" s="13"/>
      <c r="H193" s="13"/>
      <c r="I193" s="13"/>
      <c r="J193" s="13"/>
      <c r="K193" s="13"/>
      <c r="L193" s="13"/>
      <c r="M193" s="13"/>
      <c r="N193" s="13"/>
      <c r="O193" s="14"/>
      <c r="P193" s="13"/>
      <c r="Q193" s="13"/>
      <c r="R193" s="14"/>
      <c r="S193" s="13"/>
      <c r="T193" s="4"/>
      <c r="U193" s="13"/>
      <c r="AO193" s="10"/>
      <c r="AX193" s="10"/>
      <c r="AY193" s="10"/>
    </row>
    <row r="194" spans="2:51" ht="54" customHeight="1" x14ac:dyDescent="0.2">
      <c r="B194" s="13"/>
      <c r="C194" s="13"/>
      <c r="D194" s="3"/>
      <c r="E194" s="13"/>
      <c r="F194" s="13"/>
      <c r="G194" s="13"/>
      <c r="H194" s="13"/>
      <c r="I194" s="13"/>
      <c r="J194" s="13"/>
      <c r="K194" s="13"/>
      <c r="L194" s="13"/>
      <c r="M194" s="13"/>
      <c r="N194" s="13"/>
      <c r="O194" s="14"/>
      <c r="P194" s="13"/>
      <c r="Q194" s="13"/>
      <c r="R194" s="14"/>
      <c r="S194" s="13"/>
      <c r="T194" s="4"/>
      <c r="U194" s="13"/>
      <c r="AO194" s="10"/>
      <c r="AX194" s="10"/>
      <c r="AY194" s="10"/>
    </row>
    <row r="195" spans="2:51" ht="54" customHeight="1" x14ac:dyDescent="0.2">
      <c r="B195" s="13"/>
      <c r="C195" s="13"/>
      <c r="D195" s="3"/>
      <c r="E195" s="13"/>
      <c r="F195" s="13"/>
      <c r="G195" s="13"/>
      <c r="H195" s="13"/>
      <c r="I195" s="13"/>
      <c r="J195" s="13"/>
      <c r="K195" s="13"/>
      <c r="L195" s="13"/>
      <c r="M195" s="13"/>
      <c r="N195" s="13"/>
      <c r="O195" s="14"/>
      <c r="P195" s="13"/>
      <c r="Q195" s="13"/>
      <c r="R195" s="14"/>
      <c r="S195" s="13"/>
      <c r="T195" s="4"/>
      <c r="U195" s="13"/>
      <c r="AO195" s="10"/>
      <c r="AX195" s="10"/>
    </row>
    <row r="196" spans="2:51" ht="54" customHeight="1" x14ac:dyDescent="0.2">
      <c r="B196" s="13"/>
      <c r="C196" s="13"/>
      <c r="D196" s="3"/>
      <c r="E196" s="13"/>
      <c r="F196" s="13"/>
      <c r="G196" s="13"/>
      <c r="H196" s="13"/>
      <c r="I196" s="13"/>
      <c r="J196" s="13"/>
      <c r="K196" s="13"/>
      <c r="L196" s="13"/>
      <c r="M196" s="13"/>
      <c r="N196" s="13"/>
      <c r="O196" s="14"/>
      <c r="P196" s="13"/>
      <c r="Q196" s="13"/>
      <c r="R196" s="14"/>
      <c r="S196" s="13"/>
      <c r="T196" s="4"/>
      <c r="U196" s="13"/>
      <c r="AO196" s="10"/>
      <c r="AY196" s="5"/>
    </row>
    <row r="197" spans="2:51" ht="54" customHeight="1" x14ac:dyDescent="0.2">
      <c r="B197" s="13"/>
      <c r="C197" s="13"/>
      <c r="D197" s="3"/>
      <c r="E197" s="13"/>
      <c r="F197" s="13"/>
      <c r="G197" s="13"/>
      <c r="H197" s="13"/>
      <c r="I197" s="13"/>
      <c r="J197" s="13"/>
      <c r="K197" s="13"/>
      <c r="L197" s="13"/>
      <c r="M197" s="13"/>
      <c r="N197" s="13"/>
      <c r="O197" s="14"/>
      <c r="P197" s="13"/>
      <c r="Q197" s="13"/>
      <c r="R197" s="14"/>
      <c r="S197" s="13"/>
      <c r="T197" s="4"/>
      <c r="U197" s="13"/>
      <c r="AO197" s="10"/>
      <c r="AX197" s="5"/>
      <c r="AY197" s="10"/>
    </row>
    <row r="198" spans="2:51" ht="54" customHeight="1" x14ac:dyDescent="0.2">
      <c r="B198" s="13"/>
      <c r="C198" s="13"/>
      <c r="D198" s="3"/>
      <c r="E198" s="13"/>
      <c r="F198" s="13"/>
      <c r="G198" s="13"/>
      <c r="H198" s="13"/>
      <c r="I198" s="13"/>
      <c r="J198" s="13"/>
      <c r="K198" s="13"/>
      <c r="L198" s="13"/>
      <c r="M198" s="13"/>
      <c r="N198" s="13"/>
      <c r="O198" s="14"/>
      <c r="P198" s="13"/>
      <c r="Q198" s="13"/>
      <c r="R198" s="14"/>
      <c r="S198" s="13"/>
      <c r="T198" s="4"/>
      <c r="U198" s="13"/>
      <c r="AX198" s="10"/>
      <c r="AY198" s="10"/>
    </row>
    <row r="199" spans="2:51" ht="54" customHeight="1" x14ac:dyDescent="0.2">
      <c r="B199" s="13"/>
      <c r="C199" s="13"/>
      <c r="D199" s="3"/>
      <c r="E199" s="13"/>
      <c r="F199" s="13"/>
      <c r="G199" s="13"/>
      <c r="H199" s="13"/>
      <c r="I199" s="13"/>
      <c r="J199" s="13"/>
      <c r="K199" s="13"/>
      <c r="L199" s="13"/>
      <c r="M199" s="13"/>
      <c r="N199" s="13"/>
      <c r="O199" s="14"/>
      <c r="P199" s="13"/>
      <c r="Q199" s="13"/>
      <c r="R199" s="14"/>
      <c r="S199" s="13"/>
      <c r="T199" s="4"/>
      <c r="U199" s="13"/>
      <c r="AO199" s="5"/>
      <c r="AX199" s="10"/>
      <c r="AY199" s="10"/>
    </row>
    <row r="200" spans="2:51" ht="54" customHeight="1" x14ac:dyDescent="0.2">
      <c r="B200" s="13"/>
      <c r="C200" s="13"/>
      <c r="D200" s="3"/>
      <c r="E200" s="13"/>
      <c r="F200" s="13"/>
      <c r="G200" s="13"/>
      <c r="H200" s="13"/>
      <c r="I200" s="13"/>
      <c r="J200" s="13"/>
      <c r="K200" s="13"/>
      <c r="L200" s="13"/>
      <c r="M200" s="13"/>
      <c r="N200" s="13"/>
      <c r="O200" s="14"/>
      <c r="P200" s="13"/>
      <c r="Q200" s="13"/>
      <c r="R200" s="14"/>
      <c r="S200" s="13"/>
      <c r="T200" s="4"/>
      <c r="U200" s="13"/>
      <c r="AO200" s="10"/>
      <c r="AX200" s="10"/>
      <c r="AY200" s="10"/>
    </row>
    <row r="201" spans="2:51" ht="54" customHeight="1" x14ac:dyDescent="0.2">
      <c r="B201" s="13"/>
      <c r="C201" s="13"/>
      <c r="D201" s="3"/>
      <c r="E201" s="13"/>
      <c r="F201" s="13"/>
      <c r="G201" s="13"/>
      <c r="H201" s="13"/>
      <c r="I201" s="13"/>
      <c r="J201" s="13"/>
      <c r="K201" s="13"/>
      <c r="L201" s="13"/>
      <c r="M201" s="13"/>
      <c r="N201" s="13"/>
      <c r="O201" s="14"/>
      <c r="P201" s="13"/>
      <c r="Q201" s="13"/>
      <c r="R201" s="14"/>
      <c r="S201" s="13"/>
      <c r="T201" s="4"/>
      <c r="U201" s="13"/>
      <c r="AO201" s="10"/>
      <c r="AX201" s="10"/>
      <c r="AY201" s="10"/>
    </row>
    <row r="202" spans="2:51" ht="54" customHeight="1" x14ac:dyDescent="0.2">
      <c r="B202" s="13"/>
      <c r="C202" s="13"/>
      <c r="D202" s="3"/>
      <c r="E202" s="13"/>
      <c r="F202" s="13"/>
      <c r="G202" s="13"/>
      <c r="H202" s="13"/>
      <c r="I202" s="13"/>
      <c r="J202" s="13"/>
      <c r="K202" s="13"/>
      <c r="L202" s="13"/>
      <c r="M202" s="13"/>
      <c r="N202" s="13"/>
      <c r="O202" s="14"/>
      <c r="P202" s="13"/>
      <c r="Q202" s="13"/>
      <c r="R202" s="14"/>
      <c r="S202" s="13"/>
      <c r="T202" s="4"/>
      <c r="U202" s="13"/>
      <c r="AO202" s="10"/>
      <c r="AX202" s="10"/>
      <c r="AY202" s="10"/>
    </row>
    <row r="203" spans="2:51" ht="54" customHeight="1" x14ac:dyDescent="0.2">
      <c r="B203" s="13"/>
      <c r="C203" s="13"/>
      <c r="D203" s="3"/>
      <c r="E203" s="13"/>
      <c r="F203" s="13"/>
      <c r="G203" s="13"/>
      <c r="H203" s="13"/>
      <c r="I203" s="13"/>
      <c r="J203" s="13"/>
      <c r="K203" s="13"/>
      <c r="L203" s="13"/>
      <c r="M203" s="13"/>
      <c r="N203" s="13"/>
      <c r="O203" s="14"/>
      <c r="P203" s="13"/>
      <c r="Q203" s="13"/>
      <c r="R203" s="14"/>
      <c r="S203" s="13"/>
      <c r="T203" s="4"/>
      <c r="U203" s="13"/>
      <c r="AO203" s="10"/>
      <c r="AX203" s="10"/>
      <c r="AY203" s="10"/>
    </row>
    <row r="204" spans="2:51" ht="54" customHeight="1" x14ac:dyDescent="0.2">
      <c r="B204" s="13"/>
      <c r="C204" s="13"/>
      <c r="D204" s="3"/>
      <c r="E204" s="13"/>
      <c r="F204" s="13"/>
      <c r="G204" s="13"/>
      <c r="H204" s="13"/>
      <c r="I204" s="13"/>
      <c r="J204" s="13"/>
      <c r="K204" s="13"/>
      <c r="L204" s="13"/>
      <c r="M204" s="13"/>
      <c r="N204" s="13"/>
      <c r="O204" s="14"/>
      <c r="P204" s="13"/>
      <c r="Q204" s="13"/>
      <c r="R204" s="14"/>
      <c r="S204" s="13"/>
      <c r="T204" s="4"/>
      <c r="U204" s="13"/>
      <c r="AO204" s="10"/>
      <c r="AX204" s="10"/>
      <c r="AY204" s="10"/>
    </row>
    <row r="205" spans="2:51" ht="54" customHeight="1" x14ac:dyDescent="0.2">
      <c r="B205" s="13"/>
      <c r="C205" s="13"/>
      <c r="D205" s="3"/>
      <c r="E205" s="13"/>
      <c r="F205" s="13"/>
      <c r="G205" s="13"/>
      <c r="H205" s="13"/>
      <c r="I205" s="13"/>
      <c r="J205" s="13"/>
      <c r="K205" s="13"/>
      <c r="L205" s="13"/>
      <c r="M205" s="13"/>
      <c r="N205" s="13"/>
      <c r="O205" s="14"/>
      <c r="P205" s="13"/>
      <c r="Q205" s="13"/>
      <c r="R205" s="14"/>
      <c r="S205" s="13"/>
      <c r="T205" s="4"/>
      <c r="U205" s="13"/>
      <c r="AO205" s="10"/>
      <c r="AX205" s="10"/>
      <c r="AY205" s="10"/>
    </row>
    <row r="206" spans="2:51" ht="54" customHeight="1" x14ac:dyDescent="0.2">
      <c r="B206" s="13"/>
      <c r="C206" s="13"/>
      <c r="D206" s="3"/>
      <c r="E206" s="13"/>
      <c r="F206" s="13"/>
      <c r="G206" s="13"/>
      <c r="H206" s="13"/>
      <c r="I206" s="13"/>
      <c r="J206" s="13"/>
      <c r="K206" s="13"/>
      <c r="L206" s="13"/>
      <c r="M206" s="13"/>
      <c r="N206" s="13"/>
      <c r="O206" s="14"/>
      <c r="P206" s="13"/>
      <c r="Q206" s="13"/>
      <c r="R206" s="14"/>
      <c r="S206" s="13"/>
      <c r="T206" s="4"/>
      <c r="U206" s="13"/>
      <c r="AO206" s="10"/>
      <c r="AX206" s="10"/>
    </row>
    <row r="207" spans="2:51" ht="54" customHeight="1" x14ac:dyDescent="0.2">
      <c r="B207" s="13"/>
      <c r="C207" s="13"/>
      <c r="D207" s="3"/>
      <c r="E207" s="13"/>
      <c r="F207" s="13"/>
      <c r="G207" s="13"/>
      <c r="H207" s="13"/>
      <c r="I207" s="13"/>
      <c r="J207" s="13"/>
      <c r="K207" s="13"/>
      <c r="L207" s="13"/>
      <c r="M207" s="13"/>
      <c r="N207" s="13"/>
      <c r="O207" s="14"/>
      <c r="P207" s="13"/>
      <c r="Q207" s="13"/>
      <c r="R207" s="14"/>
      <c r="S207" s="13"/>
      <c r="T207" s="4"/>
      <c r="U207" s="13"/>
      <c r="AO207" s="10"/>
      <c r="AY207" s="5"/>
    </row>
    <row r="208" spans="2:51" ht="54" customHeight="1" x14ac:dyDescent="0.2">
      <c r="B208" s="13"/>
      <c r="C208" s="13"/>
      <c r="D208" s="3"/>
      <c r="E208" s="13"/>
      <c r="F208" s="13"/>
      <c r="G208" s="13"/>
      <c r="H208" s="13"/>
      <c r="I208" s="13"/>
      <c r="J208" s="13"/>
      <c r="K208" s="13"/>
      <c r="L208" s="13"/>
      <c r="M208" s="13"/>
      <c r="N208" s="13"/>
      <c r="O208" s="14"/>
      <c r="P208" s="13"/>
      <c r="Q208" s="13"/>
      <c r="R208" s="14"/>
      <c r="S208" s="13"/>
      <c r="T208" s="4"/>
      <c r="U208" s="13"/>
      <c r="AO208" s="10"/>
      <c r="AX208" s="5"/>
      <c r="AY208" s="10"/>
    </row>
    <row r="209" spans="2:51" ht="54" customHeight="1" x14ac:dyDescent="0.2">
      <c r="B209" s="13"/>
      <c r="C209" s="13"/>
      <c r="D209" s="3"/>
      <c r="E209" s="13"/>
      <c r="F209" s="13"/>
      <c r="G209" s="13"/>
      <c r="H209" s="13"/>
      <c r="I209" s="13"/>
      <c r="J209" s="13"/>
      <c r="K209" s="13"/>
      <c r="L209" s="13"/>
      <c r="M209" s="13"/>
      <c r="N209" s="13"/>
      <c r="O209" s="14"/>
      <c r="P209" s="13"/>
      <c r="Q209" s="13"/>
      <c r="R209" s="14"/>
      <c r="S209" s="13"/>
      <c r="T209" s="4"/>
      <c r="U209" s="13"/>
      <c r="AX209" s="10"/>
      <c r="AY209" s="10"/>
    </row>
    <row r="210" spans="2:51" ht="54" customHeight="1" x14ac:dyDescent="0.2">
      <c r="B210" s="13"/>
      <c r="C210" s="13"/>
      <c r="D210" s="3"/>
      <c r="E210" s="13"/>
      <c r="F210" s="13"/>
      <c r="G210" s="13"/>
      <c r="H210" s="13"/>
      <c r="I210" s="13"/>
      <c r="J210" s="13"/>
      <c r="K210" s="13"/>
      <c r="L210" s="13"/>
      <c r="M210" s="13"/>
      <c r="N210" s="13"/>
      <c r="O210" s="14"/>
      <c r="P210" s="13"/>
      <c r="Q210" s="13"/>
      <c r="R210" s="14"/>
      <c r="S210" s="13"/>
      <c r="T210" s="4"/>
      <c r="U210" s="13"/>
      <c r="AO210" s="5"/>
      <c r="AX210" s="10"/>
      <c r="AY210" s="10"/>
    </row>
    <row r="211" spans="2:51" ht="54" customHeight="1" x14ac:dyDescent="0.2">
      <c r="B211" s="13"/>
      <c r="C211" s="13"/>
      <c r="D211" s="3"/>
      <c r="E211" s="13"/>
      <c r="F211" s="13"/>
      <c r="G211" s="13"/>
      <c r="H211" s="13"/>
      <c r="I211" s="13"/>
      <c r="J211" s="13"/>
      <c r="K211" s="13"/>
      <c r="L211" s="13"/>
      <c r="M211" s="13"/>
      <c r="N211" s="13"/>
      <c r="O211" s="14"/>
      <c r="P211" s="13"/>
      <c r="Q211" s="13"/>
      <c r="R211" s="14"/>
      <c r="S211" s="13"/>
      <c r="T211" s="4"/>
      <c r="U211" s="13"/>
      <c r="AO211" s="10"/>
      <c r="AX211" s="10"/>
      <c r="AY211" s="10"/>
    </row>
    <row r="212" spans="2:51" ht="54" customHeight="1" x14ac:dyDescent="0.2">
      <c r="B212" s="13"/>
      <c r="C212" s="13"/>
      <c r="D212" s="3"/>
      <c r="E212" s="13"/>
      <c r="F212" s="13"/>
      <c r="G212" s="13"/>
      <c r="H212" s="13"/>
      <c r="I212" s="13"/>
      <c r="J212" s="13"/>
      <c r="K212" s="13"/>
      <c r="L212" s="13"/>
      <c r="M212" s="13"/>
      <c r="N212" s="13"/>
      <c r="O212" s="14"/>
      <c r="P212" s="13"/>
      <c r="Q212" s="13"/>
      <c r="R212" s="14"/>
      <c r="S212" s="13"/>
      <c r="T212" s="4"/>
      <c r="U212" s="13"/>
      <c r="AO212" s="10"/>
      <c r="AX212" s="10"/>
      <c r="AY212" s="10"/>
    </row>
    <row r="213" spans="2:51" ht="54" customHeight="1" x14ac:dyDescent="0.2">
      <c r="B213" s="13"/>
      <c r="C213" s="13"/>
      <c r="D213" s="3"/>
      <c r="E213" s="13"/>
      <c r="F213" s="13"/>
      <c r="G213" s="13"/>
      <c r="H213" s="13"/>
      <c r="I213" s="13"/>
      <c r="J213" s="13"/>
      <c r="K213" s="13"/>
      <c r="L213" s="13"/>
      <c r="M213" s="13"/>
      <c r="N213" s="13"/>
      <c r="O213" s="14"/>
      <c r="P213" s="13"/>
      <c r="Q213" s="13"/>
      <c r="R213" s="14"/>
      <c r="S213" s="13"/>
      <c r="T213" s="4"/>
      <c r="U213" s="13"/>
      <c r="AO213" s="10"/>
      <c r="AX213" s="10"/>
      <c r="AY213" s="10"/>
    </row>
    <row r="214" spans="2:51" ht="54" customHeight="1" x14ac:dyDescent="0.2">
      <c r="B214" s="13"/>
      <c r="C214" s="13"/>
      <c r="D214" s="3"/>
      <c r="E214" s="13"/>
      <c r="F214" s="13"/>
      <c r="G214" s="13"/>
      <c r="H214" s="13"/>
      <c r="I214" s="13"/>
      <c r="J214" s="13"/>
      <c r="K214" s="13"/>
      <c r="L214" s="13"/>
      <c r="M214" s="13"/>
      <c r="N214" s="13"/>
      <c r="O214" s="14"/>
      <c r="P214" s="13"/>
      <c r="Q214" s="13"/>
      <c r="R214" s="14"/>
      <c r="S214" s="13"/>
      <c r="T214" s="4"/>
      <c r="U214" s="13"/>
      <c r="AO214" s="10"/>
      <c r="AX214" s="10"/>
      <c r="AY214" s="10"/>
    </row>
    <row r="215" spans="2:51" ht="54" customHeight="1" x14ac:dyDescent="0.2">
      <c r="B215" s="13"/>
      <c r="C215" s="13"/>
      <c r="D215" s="3"/>
      <c r="E215" s="13"/>
      <c r="F215" s="13"/>
      <c r="G215" s="13"/>
      <c r="H215" s="13"/>
      <c r="I215" s="13"/>
      <c r="J215" s="13"/>
      <c r="K215" s="13"/>
      <c r="L215" s="13"/>
      <c r="M215" s="13"/>
      <c r="N215" s="13"/>
      <c r="O215" s="14"/>
      <c r="P215" s="13"/>
      <c r="Q215" s="13"/>
      <c r="R215" s="14"/>
      <c r="S215" s="13"/>
      <c r="T215" s="4"/>
      <c r="U215" s="13"/>
      <c r="AO215" s="10"/>
      <c r="AX215" s="10"/>
      <c r="AY215" s="10"/>
    </row>
    <row r="216" spans="2:51" ht="54" customHeight="1" x14ac:dyDescent="0.2">
      <c r="B216" s="13"/>
      <c r="C216" s="13"/>
      <c r="D216" s="3"/>
      <c r="E216" s="13"/>
      <c r="F216" s="13"/>
      <c r="G216" s="13"/>
      <c r="H216" s="13"/>
      <c r="I216" s="13"/>
      <c r="J216" s="13"/>
      <c r="K216" s="13"/>
      <c r="L216" s="13"/>
      <c r="M216" s="13"/>
      <c r="N216" s="13"/>
      <c r="O216" s="14"/>
      <c r="P216" s="13"/>
      <c r="Q216" s="13"/>
      <c r="R216" s="14"/>
      <c r="S216" s="13"/>
      <c r="T216" s="4"/>
      <c r="U216" s="13"/>
      <c r="AO216" s="10"/>
      <c r="AX216" s="10"/>
      <c r="AY216" s="10"/>
    </row>
    <row r="217" spans="2:51" ht="54" customHeight="1" x14ac:dyDescent="0.2">
      <c r="B217" s="13"/>
      <c r="C217" s="13"/>
      <c r="D217" s="3"/>
      <c r="E217" s="13"/>
      <c r="F217" s="13"/>
      <c r="G217" s="13"/>
      <c r="H217" s="13"/>
      <c r="I217" s="13"/>
      <c r="J217" s="13"/>
      <c r="K217" s="13"/>
      <c r="L217" s="13"/>
      <c r="M217" s="13"/>
      <c r="N217" s="13"/>
      <c r="O217" s="14"/>
      <c r="P217" s="13"/>
      <c r="Q217" s="13"/>
      <c r="R217" s="14"/>
      <c r="S217" s="13"/>
      <c r="T217" s="4"/>
      <c r="U217" s="13"/>
      <c r="AO217" s="10"/>
      <c r="AX217" s="10"/>
      <c r="AY217" s="10"/>
    </row>
    <row r="218" spans="2:51" ht="54" customHeight="1" x14ac:dyDescent="0.2">
      <c r="B218" s="13"/>
      <c r="C218" s="13"/>
      <c r="D218" s="3"/>
      <c r="E218" s="13"/>
      <c r="F218" s="13"/>
      <c r="G218" s="13"/>
      <c r="H218" s="13"/>
      <c r="I218" s="13"/>
      <c r="J218" s="13"/>
      <c r="K218" s="13"/>
      <c r="L218" s="13"/>
      <c r="M218" s="13"/>
      <c r="N218" s="13"/>
      <c r="O218" s="14"/>
      <c r="P218" s="13"/>
      <c r="Q218" s="13"/>
      <c r="R218" s="14"/>
      <c r="S218" s="13"/>
      <c r="T218" s="4"/>
      <c r="U218" s="13"/>
      <c r="AO218" s="10"/>
      <c r="AX218" s="10"/>
      <c r="AY218" s="10"/>
    </row>
    <row r="219" spans="2:51" ht="54" customHeight="1" x14ac:dyDescent="0.2">
      <c r="B219" s="13"/>
      <c r="C219" s="13"/>
      <c r="D219" s="3"/>
      <c r="E219" s="13"/>
      <c r="F219" s="13"/>
      <c r="G219" s="13"/>
      <c r="H219" s="13"/>
      <c r="I219" s="13"/>
      <c r="J219" s="13"/>
      <c r="K219" s="13"/>
      <c r="L219" s="13"/>
      <c r="M219" s="13"/>
      <c r="N219" s="13"/>
      <c r="O219" s="14"/>
      <c r="P219" s="13"/>
      <c r="Q219" s="13"/>
      <c r="R219" s="14"/>
      <c r="S219" s="13"/>
      <c r="T219" s="4"/>
      <c r="U219" s="13"/>
      <c r="AO219" s="10"/>
      <c r="AX219" s="10"/>
      <c r="AY219" s="10"/>
    </row>
    <row r="220" spans="2:51" ht="39" customHeight="1" x14ac:dyDescent="0.2">
      <c r="B220" s="13"/>
      <c r="C220" s="13"/>
      <c r="D220" s="3"/>
      <c r="E220" s="13"/>
      <c r="F220" s="13"/>
      <c r="G220" s="13"/>
      <c r="H220" s="13"/>
      <c r="I220" s="13"/>
      <c r="J220" s="13"/>
      <c r="K220" s="13"/>
      <c r="L220" s="13"/>
      <c r="M220" s="13"/>
      <c r="N220" s="13"/>
      <c r="O220" s="14"/>
      <c r="P220" s="13"/>
      <c r="Q220" s="13"/>
      <c r="R220" s="14"/>
      <c r="S220" s="13"/>
      <c r="T220" s="4"/>
      <c r="U220" s="13"/>
      <c r="AO220" s="10"/>
      <c r="AX220" s="10"/>
      <c r="AY220" s="10"/>
    </row>
    <row r="221" spans="2:51" ht="54" customHeight="1" x14ac:dyDescent="0.2">
      <c r="B221" s="13"/>
      <c r="C221" s="13"/>
      <c r="D221" s="3"/>
      <c r="E221" s="13"/>
      <c r="F221" s="13"/>
      <c r="G221" s="13"/>
      <c r="H221" s="13"/>
      <c r="I221" s="13"/>
      <c r="J221" s="13"/>
      <c r="K221" s="13"/>
      <c r="L221" s="13"/>
      <c r="M221" s="13"/>
      <c r="N221" s="13"/>
      <c r="O221" s="14"/>
      <c r="P221" s="13"/>
      <c r="Q221" s="13"/>
      <c r="R221" s="14"/>
      <c r="S221" s="13"/>
      <c r="T221" s="4"/>
      <c r="U221" s="13"/>
      <c r="AO221" s="10"/>
      <c r="AX221" s="10"/>
      <c r="AY221" s="10"/>
    </row>
    <row r="222" spans="2:51" ht="54" customHeight="1" x14ac:dyDescent="0.2">
      <c r="B222" s="13"/>
      <c r="C222" s="13"/>
      <c r="D222" s="3"/>
      <c r="E222" s="13"/>
      <c r="F222" s="13"/>
      <c r="G222" s="13"/>
      <c r="H222" s="13"/>
      <c r="I222" s="13"/>
      <c r="J222" s="13"/>
      <c r="K222" s="13"/>
      <c r="L222" s="13"/>
      <c r="M222" s="13"/>
      <c r="N222" s="13"/>
      <c r="O222" s="14"/>
      <c r="P222" s="13"/>
      <c r="Q222" s="13"/>
      <c r="R222" s="14"/>
      <c r="S222" s="13"/>
      <c r="T222" s="4"/>
      <c r="U222" s="13"/>
      <c r="AO222" s="10"/>
      <c r="AX222" s="10"/>
      <c r="AY222" s="10"/>
    </row>
    <row r="223" spans="2:51" ht="54" customHeight="1" x14ac:dyDescent="0.2">
      <c r="B223" s="13"/>
      <c r="C223" s="13"/>
      <c r="D223" s="3"/>
      <c r="E223" s="13"/>
      <c r="F223" s="13"/>
      <c r="G223" s="13"/>
      <c r="H223" s="13"/>
      <c r="I223" s="13"/>
      <c r="J223" s="13"/>
      <c r="K223" s="13"/>
      <c r="L223" s="13"/>
      <c r="M223" s="13"/>
      <c r="N223" s="13"/>
      <c r="O223" s="14"/>
      <c r="P223" s="13"/>
      <c r="Q223" s="13"/>
      <c r="R223" s="14"/>
      <c r="S223" s="13"/>
      <c r="T223" s="4"/>
      <c r="U223" s="13"/>
      <c r="AO223" s="10"/>
      <c r="AX223" s="10"/>
    </row>
    <row r="224" spans="2:51" ht="54" customHeight="1" x14ac:dyDescent="0.2">
      <c r="B224" s="13"/>
      <c r="C224" s="13"/>
      <c r="D224" s="3"/>
      <c r="E224" s="13"/>
      <c r="F224" s="13"/>
      <c r="G224" s="13"/>
      <c r="H224" s="13"/>
      <c r="I224" s="13"/>
      <c r="J224" s="13"/>
      <c r="K224" s="13"/>
      <c r="L224" s="13"/>
      <c r="M224" s="13"/>
      <c r="N224" s="13"/>
      <c r="O224" s="14"/>
      <c r="P224" s="13"/>
      <c r="Q224" s="13"/>
      <c r="R224" s="14"/>
      <c r="S224" s="13"/>
      <c r="T224" s="4"/>
      <c r="U224" s="13"/>
      <c r="AO224" s="10"/>
    </row>
    <row r="225" spans="2:21" ht="54" customHeight="1" x14ac:dyDescent="0.2">
      <c r="B225" s="13"/>
      <c r="C225" s="13"/>
      <c r="D225" s="3"/>
      <c r="E225" s="13"/>
      <c r="F225" s="13"/>
      <c r="G225" s="13"/>
      <c r="H225" s="13"/>
      <c r="I225" s="13"/>
      <c r="J225" s="13"/>
      <c r="K225" s="13"/>
      <c r="L225" s="13"/>
      <c r="M225" s="13"/>
      <c r="N225" s="13"/>
      <c r="O225" s="14"/>
      <c r="P225" s="13"/>
      <c r="Q225" s="13"/>
      <c r="R225" s="14"/>
      <c r="S225" s="13"/>
      <c r="T225" s="4"/>
      <c r="U225" s="13"/>
    </row>
    <row r="226" spans="2:21" ht="54" customHeight="1" x14ac:dyDescent="0.2">
      <c r="B226" s="13"/>
      <c r="C226" s="13"/>
      <c r="D226" s="3"/>
      <c r="E226" s="13"/>
      <c r="F226" s="13"/>
      <c r="G226" s="13"/>
      <c r="H226" s="13"/>
      <c r="I226" s="13"/>
      <c r="J226" s="13"/>
      <c r="K226" s="13"/>
      <c r="L226" s="13"/>
      <c r="M226" s="13"/>
      <c r="N226" s="13"/>
      <c r="O226" s="14"/>
      <c r="P226" s="13"/>
      <c r="Q226" s="13"/>
      <c r="R226" s="14"/>
      <c r="S226" s="13"/>
      <c r="T226" s="4"/>
      <c r="U226" s="13"/>
    </row>
  </sheetData>
  <conditionalFormatting sqref="T6:T226">
    <cfRule type="expression" dxfId="7" priority="2">
      <formula>T6="Return"</formula>
    </cfRule>
    <cfRule type="expression" dxfId="6" priority="3">
      <formula>T6="Discard"</formula>
    </cfRule>
    <cfRule type="expression" dxfId="5" priority="4">
      <formula>T6="In Use"</formula>
    </cfRule>
    <cfRule type="expression" dxfId="4" priority="5">
      <formula>T6="Ordered"</formula>
    </cfRule>
    <cfRule type="expression" dxfId="3" priority="6">
      <formula>T6="Delayed"</formula>
    </cfRule>
    <cfRule type="expression" dxfId="2" priority="7">
      <formula>T6="Quarantine"</formula>
    </cfRule>
    <cfRule type="expression" dxfId="1" priority="8">
      <formula>T6="Ready to Use"</formula>
    </cfRule>
    <cfRule type="expression" dxfId="0" priority="9">
      <formula>T6="EXPIRED!"</formula>
    </cfRule>
  </conditionalFormatting>
  <dataValidations count="4">
    <dataValidation type="list" allowBlank="1" showInputMessage="1" showErrorMessage="1" sqref="U5" xr:uid="{D73DAFAC-DE97-40D3-AC84-B11E0EA8AA11}">
      <formula1>"Aloe vera,Vinyl,Backorder,Shortage,Shipping Delay,Missing Order"</formula1>
    </dataValidation>
    <dataValidation type="list" allowBlank="1" showInputMessage="1" showErrorMessage="1" sqref="N6:N226" xr:uid="{5A1A6F5A-1F50-4A0F-AC3E-5B85C0E82504}">
      <formula1>"Visual (required),COA,Revised packg insert,Non-Critical,QC/Validation/Qual."</formula1>
    </dataValidation>
    <dataValidation type="list" allowBlank="1" showInputMessage="1" showErrorMessage="1" sqref="S6:S226 H6:H226 B6:B226 P6:P226" xr:uid="{6F8E9DDD-FDFB-4F4B-A447-3FB09F8720A7}">
      <formula1>"A1,A2,A3"</formula1>
    </dataValidation>
    <dataValidation type="list" allowBlank="1" showInputMessage="1" showErrorMessage="1" sqref="Q6:Q226" xr:uid="{F2B02A87-D093-45E1-A6D9-F16AD5C1FC48}">
      <formula1>"In Use,Discard,Return"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Clear_All_Workbook_Slicer_Filters">
                <anchor moveWithCells="1" sizeWithCells="1">
                  <from>
                    <xdr:col>19</xdr:col>
                    <xdr:colOff>304800</xdr:colOff>
                    <xdr:row>2</xdr:row>
                    <xdr:rowOff>127000</xdr:rowOff>
                  </from>
                  <to>
                    <xdr:col>20</xdr:col>
                    <xdr:colOff>635000</xdr:colOff>
                    <xdr:row>2</xdr:row>
                    <xdr:rowOff>457200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53F102B0-7463-413C-9C45-A2F7FFE88179}">
          <x14:formula1>
            <xm:f>'Supplies &amp; manuf.'!$A$370:$A$383</xm:f>
          </x14:formula1>
          <xm:sqref>U6:U226</xm:sqref>
        </x14:dataValidation>
        <x14:dataValidation type="list" allowBlank="1" showInputMessage="1" showErrorMessage="1" xr:uid="{DE48F4F9-34F3-4A2A-BAD5-F7EAB76AA52F}">
          <x14:formula1>
            <xm:f>'Supplies &amp; manuf.'!$A$295:$A$351</xm:f>
          </x14:formula1>
          <xm:sqref>F6:F226</xm:sqref>
        </x14:dataValidation>
        <x14:dataValidation type="list" errorStyle="warning" allowBlank="1" showInputMessage="1" showErrorMessage="1" xr:uid="{07C1F7A9-3574-4F17-990B-07CAFE784B3F}">
          <x14:formula1>
            <xm:f>'Supplies &amp; manuf.'!$A$2:$A$274</xm:f>
          </x14:formula1>
          <xm:sqref>E6:E226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1A154-5C7E-4BC2-8E52-D332C06C69F9}">
  <sheetPr codeName="Sheet2"/>
  <dimension ref="A1"/>
  <sheetViews>
    <sheetView topLeftCell="A103" workbookViewId="0">
      <selection activeCell="F11" sqref="F11"/>
    </sheetView>
  </sheetViews>
  <sheetFormatPr baseColWidth="10" defaultColWidth="9.1640625" defaultRowHeight="15" x14ac:dyDescent="0.2"/>
  <cols>
    <col min="1" max="16384" width="9.1640625" style="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A67ACA-4967-490D-88B0-90B8D0659B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Backup;</vt:lpstr>
      <vt:lpstr>Supplies &amp; manuf.</vt:lpstr>
      <vt:lpstr>Inventory 2025</vt:lpstr>
      <vt:lpstr>Sheet8</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BARRUECO, Gloria</dc:creator>
  <cp:keywords/>
  <dc:description/>
  <cp:lastModifiedBy>Lugo, Adriana</cp:lastModifiedBy>
  <cp:revision/>
  <dcterms:created xsi:type="dcterms:W3CDTF">2025-03-07T21:05:36Z</dcterms:created>
  <dcterms:modified xsi:type="dcterms:W3CDTF">2025-07-19T00:59:10Z</dcterms:modified>
  <cp:category/>
  <cp:contentStatus/>
</cp:coreProperties>
</file>