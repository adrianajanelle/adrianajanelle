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0"/>
  <workbookPr hidePivotFieldList="1" defaultThemeVersion="202300"/>
  <mc:AlternateContent xmlns:mc="http://schemas.openxmlformats.org/markup-compatibility/2006">
    <mc:Choice Requires="x15">
      <x15ac:absPath xmlns:x15ac="http://schemas.microsoft.com/office/spreadsheetml/2010/11/ac" url="/Users/adrianajanelle/Downloads/"/>
    </mc:Choice>
  </mc:AlternateContent>
  <xr:revisionPtr revIDLastSave="0" documentId="13_ncr:2001_{CF4802B5-A6C3-4D4A-ACB1-BFA2C4932858}" xr6:coauthVersionLast="47" xr6:coauthVersionMax="47" xr10:uidLastSave="{00000000-0000-0000-0000-000000000000}"/>
  <bookViews>
    <workbookView xWindow="0" yWindow="500" windowWidth="28800" windowHeight="16080" activeTab="2" xr2:uid="{E9B3DD6B-A840-410A-ACA9-E029933B0F50}"/>
  </bookViews>
  <sheets>
    <sheet name="Data" sheetId="1" r:id="rId1"/>
    <sheet name="x!" sheetId="3" r:id="rId2"/>
    <sheet name="dashboard" sheetId="2" r:id="rId3"/>
  </sheets>
  <definedNames>
    <definedName name="_xlchart.v5.0" hidden="1">'x!'!$O$56</definedName>
    <definedName name="_xlchart.v5.1" hidden="1">'x!'!$O$57:$O$66</definedName>
    <definedName name="_xlchart.v5.10" hidden="1">'x!'!$P$56</definedName>
    <definedName name="_xlchart.v5.11" hidden="1">'x!'!$P$57:$P$66</definedName>
    <definedName name="_xlchart.v5.2" hidden="1">'x!'!$P$56</definedName>
    <definedName name="_xlchart.v5.3" hidden="1">'x!'!$P$57:$P$66</definedName>
    <definedName name="_xlchart.v5.4" hidden="1">'x!'!$O$56</definedName>
    <definedName name="_xlchart.v5.5" hidden="1">'x!'!$O$57:$O$66</definedName>
    <definedName name="_xlchart.v5.6" hidden="1">'x!'!$P$56</definedName>
    <definedName name="_xlchart.v5.7" hidden="1">'x!'!$P$57:$P$66</definedName>
    <definedName name="_xlchart.v5.8" hidden="1">'x!'!$O$56</definedName>
    <definedName name="_xlchart.v5.9" hidden="1">'x!'!$O$57:$O$66</definedName>
    <definedName name="Slicer_Animal">#N/A</definedName>
    <definedName name="Slicer_Medico_Veterinario_que_atendió">#N/A</definedName>
    <definedName name="Slicer_Months__Fecha_del_servicio">#N/A</definedName>
    <definedName name="Slicer_Servicio_recibido">#N/A</definedName>
  </definedNames>
  <calcPr calcId="191029"/>
  <pivotCaches>
    <pivotCache cacheId="10" r:id="rId4"/>
  </pivotCaches>
  <fileRecoveryPr repairLoad="1"/>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3" l="1"/>
  <c r="B2" i="3"/>
  <c r="P66" i="3"/>
  <c r="P65" i="3"/>
  <c r="P64" i="3"/>
  <c r="P63" i="3"/>
  <c r="P62" i="3"/>
  <c r="P61" i="3"/>
  <c r="P60" i="3"/>
  <c r="P59" i="3"/>
  <c r="P58" i="3"/>
  <c r="P57" i="3"/>
  <c r="C2" i="3" l="1"/>
</calcChain>
</file>

<file path=xl/sharedStrings.xml><?xml version="1.0" encoding="utf-8"?>
<sst xmlns="http://schemas.openxmlformats.org/spreadsheetml/2006/main" count="1570" uniqueCount="445">
  <si>
    <t>Fecha del servicio</t>
  </si>
  <si>
    <t>Nombre cliente</t>
  </si>
  <si>
    <t>Animal</t>
  </si>
  <si>
    <t>Raza mascota</t>
  </si>
  <si>
    <t>Nombre paciente</t>
  </si>
  <si>
    <t>Esterilizado?</t>
  </si>
  <si>
    <t>Servicio recibido</t>
  </si>
  <si>
    <t>Monto pagado</t>
  </si>
  <si>
    <t>Medico Veterinario que atendió</t>
  </si>
  <si>
    <t>Diagnóstico</t>
  </si>
  <si>
    <t>Tratamiento</t>
  </si>
  <si>
    <t>Shannon Copeland</t>
  </si>
  <si>
    <t>Perro</t>
  </si>
  <si>
    <t>PowderBlue</t>
  </si>
  <si>
    <t>Alyssa</t>
  </si>
  <si>
    <t>Sí­</t>
  </si>
  <si>
    <t>Dr. Simmons</t>
  </si>
  <si>
    <t>Infección urinaria</t>
  </si>
  <si>
    <t>Rehabilitación</t>
  </si>
  <si>
    <t>Laura Scott</t>
  </si>
  <si>
    <t>Wheat</t>
  </si>
  <si>
    <t>Amy</t>
  </si>
  <si>
    <t>Emergencia</t>
  </si>
  <si>
    <t>Dr. Conley</t>
  </si>
  <si>
    <t>Gastroenteritis</t>
  </si>
  <si>
    <t>Antibióticos</t>
  </si>
  <si>
    <t>Dr. Kimberly Larson</t>
  </si>
  <si>
    <t>Gato</t>
  </si>
  <si>
    <t>GoldenRod</t>
  </si>
  <si>
    <t>Christopher</t>
  </si>
  <si>
    <t>Desnutrición</t>
  </si>
  <si>
    <t>Cirugía menor</t>
  </si>
  <si>
    <t>David Fletcher</t>
  </si>
  <si>
    <t>Ave</t>
  </si>
  <si>
    <t>Automated homogeneous success</t>
  </si>
  <si>
    <t>Sergio</t>
  </si>
  <si>
    <t>No</t>
  </si>
  <si>
    <t>Dr. Price</t>
  </si>
  <si>
    <t>Otitis</t>
  </si>
  <si>
    <t>Steven Gonzalez</t>
  </si>
  <si>
    <t>LightYellow</t>
  </si>
  <si>
    <t>Bridget</t>
  </si>
  <si>
    <t>Vitaminas</t>
  </si>
  <si>
    <t>Brandon Myers</t>
  </si>
  <si>
    <t>Purple</t>
  </si>
  <si>
    <t>Donna</t>
  </si>
  <si>
    <t>Control de peso</t>
  </si>
  <si>
    <t>Dr. Mullins</t>
  </si>
  <si>
    <t>Vendaje</t>
  </si>
  <si>
    <t>Jerry Johnson</t>
  </si>
  <si>
    <t>Conejo</t>
  </si>
  <si>
    <t>Azure</t>
  </si>
  <si>
    <t>Holly</t>
  </si>
  <si>
    <t>Fractura</t>
  </si>
  <si>
    <t>Christine Perry</t>
  </si>
  <si>
    <t>Open-architected composite open system</t>
  </si>
  <si>
    <t>Alexis</t>
  </si>
  <si>
    <t>Sierra Miller</t>
  </si>
  <si>
    <t>LightSteelBlue</t>
  </si>
  <si>
    <t>Yvonne</t>
  </si>
  <si>
    <t>Laura Kidd</t>
  </si>
  <si>
    <t>Hámster</t>
  </si>
  <si>
    <t>Tomato</t>
  </si>
  <si>
    <t>Patricia</t>
  </si>
  <si>
    <t>Scott Smith</t>
  </si>
  <si>
    <t>OldLace</t>
  </si>
  <si>
    <t>Jennifer</t>
  </si>
  <si>
    <t>Michelle Richardson</t>
  </si>
  <si>
    <t>PapayaWhip</t>
  </si>
  <si>
    <t>Dr. Harvey</t>
  </si>
  <si>
    <t>Lisa Garcia</t>
  </si>
  <si>
    <t>Configurable regional knowledgebase</t>
  </si>
  <si>
    <t>Allison Skinner</t>
  </si>
  <si>
    <t>PaleGoldenRod</t>
  </si>
  <si>
    <t>Mary</t>
  </si>
  <si>
    <t>Consulta general</t>
  </si>
  <si>
    <t>Anemia</t>
  </si>
  <si>
    <t>Sandy Campbell</t>
  </si>
  <si>
    <t>Silver</t>
  </si>
  <si>
    <t>Jo</t>
  </si>
  <si>
    <t>John Petersen</t>
  </si>
  <si>
    <t>Elizabeth</t>
  </si>
  <si>
    <t>Brooke Allen</t>
  </si>
  <si>
    <t>MediumPurple</t>
  </si>
  <si>
    <t>Kristina</t>
  </si>
  <si>
    <t>Cambio de dieta</t>
  </si>
  <si>
    <t>Carrie Krueger</t>
  </si>
  <si>
    <t>YellowGreen</t>
  </si>
  <si>
    <t>Robert</t>
  </si>
  <si>
    <t>Jamie Austin</t>
  </si>
  <si>
    <t>Open-source value-added core</t>
  </si>
  <si>
    <t>Samantha</t>
  </si>
  <si>
    <t>Kevin Rodriguez</t>
  </si>
  <si>
    <t>MediumBlue</t>
  </si>
  <si>
    <t>Gabriel</t>
  </si>
  <si>
    <t>Nathaniel Norton</t>
  </si>
  <si>
    <t>FireBrick</t>
  </si>
  <si>
    <t>Brittney</t>
  </si>
  <si>
    <t>Todd Snow</t>
  </si>
  <si>
    <t>Blue</t>
  </si>
  <si>
    <t>Daniel</t>
  </si>
  <si>
    <t>Larry Gomez</t>
  </si>
  <si>
    <t>Cloned tertiary intranet</t>
  </si>
  <si>
    <t>Christian</t>
  </si>
  <si>
    <t>Veronica Lopez</t>
  </si>
  <si>
    <t>Valerie</t>
  </si>
  <si>
    <t>Rhonda Collins</t>
  </si>
  <si>
    <t>Navy</t>
  </si>
  <si>
    <t>Margaret Brown</t>
  </si>
  <si>
    <t>LightPink</t>
  </si>
  <si>
    <t>Bradley</t>
  </si>
  <si>
    <t>Christian Bell</t>
  </si>
  <si>
    <t>Versatile analyzing software</t>
  </si>
  <si>
    <t>Kimberly</t>
  </si>
  <si>
    <t>Paul Williams</t>
  </si>
  <si>
    <t>Persevering discrete open architecture</t>
  </si>
  <si>
    <t>Jessica</t>
  </si>
  <si>
    <t>Karen Carpenter</t>
  </si>
  <si>
    <t>Kerri</t>
  </si>
  <si>
    <t>Tom Mcintosh</t>
  </si>
  <si>
    <t>User-friendly bandwidth-monitored database</t>
  </si>
  <si>
    <t>Sheri</t>
  </si>
  <si>
    <t>Ryan Pugh</t>
  </si>
  <si>
    <t>Susan</t>
  </si>
  <si>
    <t>Mary Holmes</t>
  </si>
  <si>
    <t>SkyBlue</t>
  </si>
  <si>
    <t>Julie</t>
  </si>
  <si>
    <t>Angela Woodward</t>
  </si>
  <si>
    <t>Horizontal well-modulated hardware</t>
  </si>
  <si>
    <t>William</t>
  </si>
  <si>
    <t>Patrick Rhodes</t>
  </si>
  <si>
    <t>Aquamarine</t>
  </si>
  <si>
    <t>Katherine</t>
  </si>
  <si>
    <t>James White</t>
  </si>
  <si>
    <t>Frank</t>
  </si>
  <si>
    <t>John Perkins</t>
  </si>
  <si>
    <t>Orange</t>
  </si>
  <si>
    <t>John</t>
  </si>
  <si>
    <t>Timothy Mckinney</t>
  </si>
  <si>
    <t>SaddleBrown</t>
  </si>
  <si>
    <t>Paul</t>
  </si>
  <si>
    <t>Brian Jones</t>
  </si>
  <si>
    <t>Lavender</t>
  </si>
  <si>
    <t>Patricia Herman</t>
  </si>
  <si>
    <t>Brianna Torres</t>
  </si>
  <si>
    <t>MediumTurquoise</t>
  </si>
  <si>
    <t>Regina</t>
  </si>
  <si>
    <t>Amy Phillips</t>
  </si>
  <si>
    <t>Multi-lateral tangible protocol</t>
  </si>
  <si>
    <t>Reginald</t>
  </si>
  <si>
    <t>Sharon Davis</t>
  </si>
  <si>
    <t>Quality-focused cohesive artificial intelligence</t>
  </si>
  <si>
    <t>James</t>
  </si>
  <si>
    <t>Jessica Clark</t>
  </si>
  <si>
    <t>Enterprise-wide directional model</t>
  </si>
  <si>
    <t>Kayla Boyer</t>
  </si>
  <si>
    <t>Versatile homogeneous algorithm</t>
  </si>
  <si>
    <t>Sarah</t>
  </si>
  <si>
    <t>Mrs. Michelle Lewis</t>
  </si>
  <si>
    <t>Persevering foreground circuit</t>
  </si>
  <si>
    <t>Sandra</t>
  </si>
  <si>
    <t>Alexandria Jackson</t>
  </si>
  <si>
    <t>Face-to-face reciprocal Local Area Network</t>
  </si>
  <si>
    <t>Charlene</t>
  </si>
  <si>
    <t>Margaret Robinson</t>
  </si>
  <si>
    <t>BlanchedAlmond</t>
  </si>
  <si>
    <t>Dustin</t>
  </si>
  <si>
    <t>John Shah</t>
  </si>
  <si>
    <t>SteelBlue</t>
  </si>
  <si>
    <t>Cody</t>
  </si>
  <si>
    <t>Angela Ramirez</t>
  </si>
  <si>
    <t>Justin</t>
  </si>
  <si>
    <t>Valerie Martinez</t>
  </si>
  <si>
    <t>PaleGreen</t>
  </si>
  <si>
    <t>Dawn</t>
  </si>
  <si>
    <t>Lisa Lane</t>
  </si>
  <si>
    <t>Versatile non-volatile database</t>
  </si>
  <si>
    <t>Joseph</t>
  </si>
  <si>
    <t>Jake Terry</t>
  </si>
  <si>
    <t>Integrated heuristic installation</t>
  </si>
  <si>
    <t>Matthew</t>
  </si>
  <si>
    <t>Tamara White</t>
  </si>
  <si>
    <t>DarkSalmon</t>
  </si>
  <si>
    <t>Dennis Guerra</t>
  </si>
  <si>
    <t>SlateBlue</t>
  </si>
  <si>
    <t>Alex</t>
  </si>
  <si>
    <t>April Douglas</t>
  </si>
  <si>
    <t>Gray</t>
  </si>
  <si>
    <t>Scott</t>
  </si>
  <si>
    <t>Ross Curtis</t>
  </si>
  <si>
    <t>MediumSeaGreen</t>
  </si>
  <si>
    <t>Tara</t>
  </si>
  <si>
    <t>James West</t>
  </si>
  <si>
    <t>Progressive user-facing concept</t>
  </si>
  <si>
    <t>Claire</t>
  </si>
  <si>
    <t>Charles Garcia</t>
  </si>
  <si>
    <t>SeaShell</t>
  </si>
  <si>
    <t>Chad</t>
  </si>
  <si>
    <t>Jennifer Watson</t>
  </si>
  <si>
    <t>Crimson</t>
  </si>
  <si>
    <t>Jared</t>
  </si>
  <si>
    <t>Jason Allen</t>
  </si>
  <si>
    <t>Sienna</t>
  </si>
  <si>
    <t>Ashley</t>
  </si>
  <si>
    <t>Jason Jones</t>
  </si>
  <si>
    <t>SandyBrown</t>
  </si>
  <si>
    <t>Daniel Melton</t>
  </si>
  <si>
    <t>OrangeRed</t>
  </si>
  <si>
    <t>Jasmine</t>
  </si>
  <si>
    <t>Eric Bass</t>
  </si>
  <si>
    <t>Tyler Salinas</t>
  </si>
  <si>
    <t>DarkGreen</t>
  </si>
  <si>
    <t>Jane Campbell</t>
  </si>
  <si>
    <t>MediumVioletRed</t>
  </si>
  <si>
    <t>Brett</t>
  </si>
  <si>
    <t>Angela Stevenson</t>
  </si>
  <si>
    <t>Chase</t>
  </si>
  <si>
    <t>Michael Crawford</t>
  </si>
  <si>
    <t>DeepSkyBlue</t>
  </si>
  <si>
    <t>Nancy</t>
  </si>
  <si>
    <t>Andrew Kim</t>
  </si>
  <si>
    <t>FloralWhite</t>
  </si>
  <si>
    <t>Kelly</t>
  </si>
  <si>
    <t>Nathan Winters</t>
  </si>
  <si>
    <t>Ms. Dawn King</t>
  </si>
  <si>
    <t>Andre</t>
  </si>
  <si>
    <t>Katie Jacobs</t>
  </si>
  <si>
    <t>Carmen</t>
  </si>
  <si>
    <t>Nicholas Bradley</t>
  </si>
  <si>
    <t>Gold</t>
  </si>
  <si>
    <t>Audrey</t>
  </si>
  <si>
    <t>Hailey Torres</t>
  </si>
  <si>
    <t>DarkCyan</t>
  </si>
  <si>
    <t>Andrew Gentry</t>
  </si>
  <si>
    <t>LightCyan</t>
  </si>
  <si>
    <t>Shane</t>
  </si>
  <si>
    <t>James Murillo</t>
  </si>
  <si>
    <t>LightGreen</t>
  </si>
  <si>
    <t>Mario</t>
  </si>
  <si>
    <t>Collin Brown</t>
  </si>
  <si>
    <t>Darlene Delacruz</t>
  </si>
  <si>
    <t>Pink</t>
  </si>
  <si>
    <t>Thomas</t>
  </si>
  <si>
    <t>Betty George</t>
  </si>
  <si>
    <t>Customizable solution-oriented protocol</t>
  </si>
  <si>
    <t>Kenneth</t>
  </si>
  <si>
    <t>John Russo</t>
  </si>
  <si>
    <t>Brian</t>
  </si>
  <si>
    <t>Patrick Green</t>
  </si>
  <si>
    <t>Multi-layered mobile monitoring</t>
  </si>
  <si>
    <t>Michelle</t>
  </si>
  <si>
    <t>Marcus Allen</t>
  </si>
  <si>
    <t>Ryan</t>
  </si>
  <si>
    <t>Taylor Trevino</t>
  </si>
  <si>
    <t>Turquoise</t>
  </si>
  <si>
    <t>Adam</t>
  </si>
  <si>
    <t>Jason King</t>
  </si>
  <si>
    <t>Casey</t>
  </si>
  <si>
    <t>Morgan Carroll</t>
  </si>
  <si>
    <t>Alexandra</t>
  </si>
  <si>
    <t>Dennis Kramer</t>
  </si>
  <si>
    <t>Sharable intermediate implementation</t>
  </si>
  <si>
    <t>Michael Peterson</t>
  </si>
  <si>
    <t>Enterprise-wide multi-state neural-net</t>
  </si>
  <si>
    <t>Karen</t>
  </si>
  <si>
    <t>Brandi Curry MD</t>
  </si>
  <si>
    <t>Bisque</t>
  </si>
  <si>
    <t>Alexandra Patrick</t>
  </si>
  <si>
    <t>Shelley</t>
  </si>
  <si>
    <t>Monica Smith</t>
  </si>
  <si>
    <t>RosyBrown</t>
  </si>
  <si>
    <t>Rebecca</t>
  </si>
  <si>
    <t>Kristine Williams</t>
  </si>
  <si>
    <t>Indigo</t>
  </si>
  <si>
    <t>Travis</t>
  </si>
  <si>
    <t>Thomas Ruiz</t>
  </si>
  <si>
    <t>DarkTurquoise</t>
  </si>
  <si>
    <t>Jason</t>
  </si>
  <si>
    <t>Steven Tran</t>
  </si>
  <si>
    <t>Tony</t>
  </si>
  <si>
    <t>Mary Cobb</t>
  </si>
  <si>
    <t>LimeGreen</t>
  </si>
  <si>
    <t>Steven</t>
  </si>
  <si>
    <t>Jerry Parker</t>
  </si>
  <si>
    <t>Beige</t>
  </si>
  <si>
    <t>Krystal</t>
  </si>
  <si>
    <t>Susan Skinner</t>
  </si>
  <si>
    <t>SeaGreen</t>
  </si>
  <si>
    <t>Nicole Gilbert</t>
  </si>
  <si>
    <t>SpringGreen</t>
  </si>
  <si>
    <t>Lynn</t>
  </si>
  <si>
    <t>Jill Page</t>
  </si>
  <si>
    <t>Cody Snyder DVM</t>
  </si>
  <si>
    <t>DarkSlateBlue</t>
  </si>
  <si>
    <t>Leonard</t>
  </si>
  <si>
    <t>Amanda Tran MD</t>
  </si>
  <si>
    <t>Grass-roots value-added benchmark</t>
  </si>
  <si>
    <t>Denise</t>
  </si>
  <si>
    <t>Mary Hurley</t>
  </si>
  <si>
    <t>Cornsilk</t>
  </si>
  <si>
    <t>Anthony</t>
  </si>
  <si>
    <t>Kelly Hall</t>
  </si>
  <si>
    <t>Kenneth Cooper</t>
  </si>
  <si>
    <t>Bobby</t>
  </si>
  <si>
    <t>Megan Lang</t>
  </si>
  <si>
    <t>Michael</t>
  </si>
  <si>
    <t>Jacob Cox</t>
  </si>
  <si>
    <t>Reverse-engineered non-volatile secured line</t>
  </si>
  <si>
    <t>Megan</t>
  </si>
  <si>
    <t>Oscar Wagner</t>
  </si>
  <si>
    <t>LavenderBlush</t>
  </si>
  <si>
    <t>Larry</t>
  </si>
  <si>
    <t>Paige Parker</t>
  </si>
  <si>
    <t>Adaptive 24/7 interface</t>
  </si>
  <si>
    <t>Daniel Lane</t>
  </si>
  <si>
    <t>ForestGreen</t>
  </si>
  <si>
    <t>Taylor Diaz</t>
  </si>
  <si>
    <t>MediumSpringGreen</t>
  </si>
  <si>
    <t>Leslie</t>
  </si>
  <si>
    <t>Matthew Wang</t>
  </si>
  <si>
    <t>Rebecca Reynolds</t>
  </si>
  <si>
    <t>Derrick Smith</t>
  </si>
  <si>
    <t>Stephen</t>
  </si>
  <si>
    <t>Kara Mullins</t>
  </si>
  <si>
    <t>Cyan</t>
  </si>
  <si>
    <t>Jerome</t>
  </si>
  <si>
    <t>Jesse Knight</t>
  </si>
  <si>
    <t>Juan</t>
  </si>
  <si>
    <t>Michael Henson</t>
  </si>
  <si>
    <t>Teal</t>
  </si>
  <si>
    <t>Troy</t>
  </si>
  <si>
    <t>Michelle Gonzalez</t>
  </si>
  <si>
    <t>Tracie</t>
  </si>
  <si>
    <t>Michael Phillips</t>
  </si>
  <si>
    <t>Michele</t>
  </si>
  <si>
    <t>Robert Fisher</t>
  </si>
  <si>
    <t>Inverse analyzing flexibility</t>
  </si>
  <si>
    <t>Amanda</t>
  </si>
  <si>
    <t>Yolanda Jones</t>
  </si>
  <si>
    <t>DarkGray</t>
  </si>
  <si>
    <t>Sheryl Garner</t>
  </si>
  <si>
    <t>Sean</t>
  </si>
  <si>
    <t>Juan Gonzalez</t>
  </si>
  <si>
    <t>Chartreuse</t>
  </si>
  <si>
    <t>Sarah Clark</t>
  </si>
  <si>
    <t>MintCream</t>
  </si>
  <si>
    <t>Heather</t>
  </si>
  <si>
    <t>Joseph White</t>
  </si>
  <si>
    <t>DimGray</t>
  </si>
  <si>
    <t>Lori Smith</t>
  </si>
  <si>
    <t>WhiteSmoke</t>
  </si>
  <si>
    <t>Michelle Dixon</t>
  </si>
  <si>
    <t>Devolved logistical Internet solution</t>
  </si>
  <si>
    <t>Sarah Miller</t>
  </si>
  <si>
    <t>Carla</t>
  </si>
  <si>
    <t>Rhonda Wall</t>
  </si>
  <si>
    <t>DarkOliveGreen</t>
  </si>
  <si>
    <t>Stephanie Cunningham</t>
  </si>
  <si>
    <t>LightSalmon</t>
  </si>
  <si>
    <t>Dana Flores</t>
  </si>
  <si>
    <t>Fred</t>
  </si>
  <si>
    <t>April Wise</t>
  </si>
  <si>
    <t>Fully-configurable maximized customer loyalty</t>
  </si>
  <si>
    <t>Joshua</t>
  </si>
  <si>
    <t>Rhonda Baldwin</t>
  </si>
  <si>
    <t>Dylan Hill</t>
  </si>
  <si>
    <t>Scott Thomas</t>
  </si>
  <si>
    <t>DarkSeaGreen</t>
  </si>
  <si>
    <t>Danielle</t>
  </si>
  <si>
    <t>Jared Frazier</t>
  </si>
  <si>
    <t>Reduced neutral pricing structure</t>
  </si>
  <si>
    <t>Katie</t>
  </si>
  <si>
    <t>Stephanie Johnson</t>
  </si>
  <si>
    <t>Switchable 5thgeneration analyzer</t>
  </si>
  <si>
    <t>Patrick</t>
  </si>
  <si>
    <t>Nathaniel Pace</t>
  </si>
  <si>
    <t>Inverse leadingedge application</t>
  </si>
  <si>
    <t>Manuel</t>
  </si>
  <si>
    <t>James Brown</t>
  </si>
  <si>
    <t>Tammy</t>
  </si>
  <si>
    <t>Danielle Miller</t>
  </si>
  <si>
    <t>LightBlue</t>
  </si>
  <si>
    <t>Melissa</t>
  </si>
  <si>
    <t>Sara Schneider</t>
  </si>
  <si>
    <t>Darryl</t>
  </si>
  <si>
    <t>Amy Jones</t>
  </si>
  <si>
    <t>Aqua</t>
  </si>
  <si>
    <t>Shawn</t>
  </si>
  <si>
    <t>Eric Lee</t>
  </si>
  <si>
    <t>LightCoral</t>
  </si>
  <si>
    <t>Philip</t>
  </si>
  <si>
    <t>Samantha Mckinney</t>
  </si>
  <si>
    <t>Olive</t>
  </si>
  <si>
    <t>Lisa Johnson</t>
  </si>
  <si>
    <t>GhostWhite</t>
  </si>
  <si>
    <t>Kelsey</t>
  </si>
  <si>
    <t>Rebecca Olson</t>
  </si>
  <si>
    <t>David</t>
  </si>
  <si>
    <t>Barbara Travis</t>
  </si>
  <si>
    <t>Monica Flores</t>
  </si>
  <si>
    <t>Plum</t>
  </si>
  <si>
    <t>Matthew Alvarado DDS</t>
  </si>
  <si>
    <t>Progressive dynamic knowledgebase</t>
  </si>
  <si>
    <t>Andrew</t>
  </si>
  <si>
    <t>John Ross</t>
  </si>
  <si>
    <t>LightSeaGreen</t>
  </si>
  <si>
    <t>Billy</t>
  </si>
  <si>
    <t>Andrew Wells</t>
  </si>
  <si>
    <t>HotPink</t>
  </si>
  <si>
    <t>Andrea Griffin</t>
  </si>
  <si>
    <t>Linen</t>
  </si>
  <si>
    <t>Lori</t>
  </si>
  <si>
    <t>Rita Hubbard</t>
  </si>
  <si>
    <t>Operative logistical concept</t>
  </si>
  <si>
    <t>Lisa</t>
  </si>
  <si>
    <t>Esterilización</t>
  </si>
  <si>
    <t>Vacunación</t>
  </si>
  <si>
    <t>Region</t>
  </si>
  <si>
    <t>New York</t>
  </si>
  <si>
    <t>Maryland</t>
  </si>
  <si>
    <t>Connecticut</t>
  </si>
  <si>
    <t>Pennsylvania</t>
  </si>
  <si>
    <t>Rhode Island</t>
  </si>
  <si>
    <t>Vermont</t>
  </si>
  <si>
    <t>New Jersey</t>
  </si>
  <si>
    <t>Massachusetts</t>
  </si>
  <si>
    <t>Delaware</t>
  </si>
  <si>
    <t>New Hampshire</t>
  </si>
  <si>
    <t>Sum of Monto pagado</t>
  </si>
  <si>
    <t>Numero de clientes</t>
  </si>
  <si>
    <t>Row Labels</t>
  </si>
  <si>
    <t>Grand Total</t>
  </si>
  <si>
    <t>(blank)</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</si>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</sst>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quot;$&quot;* #,##0_);_(&quot;$&quot;* \(#,##0\);_(&quot;$&quot;* &quot;-&quot;??_);_(@_)"/>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201738"/>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1">
    <xf numFmtId="0" fontId="0" fillId="0" borderId="0" xfId="0"/>
    <xf numFmtId="14" fontId="0" fillId="0" borderId="0" xfId="0" applyNumberFormat="1"/>
    <xf numFmtId="0" fontId="0" fillId="33" borderId="0" xfId="0" applyFill="1"/>
    <xf numFmtId="164" fontId="0" fillId="0" borderId="0" xfId="0" applyNumberFormat="1"/>
    <xf numFmtId="164" fontId="0" fillId="0" borderId="0" xfId="42" applyNumberFormat="1" applyFont="1"/>
    <xf numFmtId="0" fontId="0" fillId="0" borderId="0" xfId="0" pivotButton="1"/>
    <xf numFmtId="0" fontId="0" fillId="0" borderId="0" xfId="0" applyAlignment="1">
      <alignment horizontal="left"/>
    </xf>
    <xf numFmtId="164" fontId="0" fillId="0" borderId="0" xfId="0" applyNumberFormat="1" applyAlignment="1">
      <alignment horizontal="left"/>
    </xf>
    <xf numFmtId="0" fontId="0" fillId="0" borderId="0" xfId="0" applyNumberFormat="1"/>
    <xf numFmtId="44" fontId="0" fillId="0" borderId="0" xfId="0" applyNumberFormat="1"/>
    <xf numFmtId="44" fontId="0" fillId="0" borderId="0" xfId="0" pivotButton="1"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1">
    <dxf>
      <numFmt numFmtId="164" formatCode="_(&quot;$&quot;* #,##0_);_(&quot;$&quot;* \(#,##0\);_(&quot;$&quot;* &quot;-&quot;??_);_(@_)"/>
    </dxf>
    <dxf>
      <numFmt numFmtId="164" formatCode="_(&quot;$&quot;* #,##0_);_(&quot;$&quot;* \(#,##0\);_(&quot;$&quot;* &quot;-&quot;??_);_(@_)"/>
    </dxf>
    <dxf>
      <numFmt numFmtId="34" formatCode="_(&quot;$&quot;* #,##0.00_);_(&quot;$&quot;* \(#,##0.00\);_(&quot;$&quot;* &quot;-&quot;??_);_(@_)"/>
    </dxf>
    <dxf>
      <alignment horizontal="center"/>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alignment horizontal="center"/>
    </dxf>
    <dxf>
      <numFmt numFmtId="34" formatCode="_(&quot;$&quot;* #,##0.00_);_(&quot;$&quot;* \(#,##0.00\);_(&quot;$&quot;* &quot;-&quot;??_);_(@_)"/>
    </dxf>
    <dxf>
      <numFmt numFmtId="164" formatCode="_(&quot;$&quot;* #,##0_);_(&quot;$&quot;* \(#,##0\);_(&quot;$&quot;* &quot;-&quot;??_);_(@_)"/>
    </dxf>
    <dxf>
      <numFmt numFmtId="164" formatCode="_(&quot;$&quot;* #,##0_);_(&quot;$&quot;* \(#,##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alignment horizontal="center"/>
    </dxf>
    <dxf>
      <numFmt numFmtId="34" formatCode="_(&quot;$&quot;* #,##0.00_);_(&quot;$&quot;* \(#,##0.00\);_(&quot;$&quot;* &quot;-&quot;??_);_(@_)"/>
    </dxf>
    <dxf>
      <numFmt numFmtId="164" formatCode="_(&quot;$&quot;* #,##0_);_(&quot;$&quot;* \(#,##0\);_(&quot;$&quot;* &quot;-&quot;??_);_(@_)"/>
    </dxf>
    <dxf>
      <numFmt numFmtId="164" formatCode="_(&quot;$&quot;* #,##0_);_(&quot;$&quot;* \(#,##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alignment horizontal="center"/>
    </dxf>
    <dxf>
      <numFmt numFmtId="34" formatCode="_(&quot;$&quot;* #,##0.00_);_(&quot;$&quot;* \(#,##0.00\);_(&quot;$&quot;* &quot;-&quot;??_);_(@_)"/>
    </dxf>
    <dxf>
      <numFmt numFmtId="164" formatCode="_(&quot;$&quot;* #,##0_);_(&quot;$&quot;* \(#,##0\);_(&quot;$&quot;* &quot;-&quot;??_);_(@_)"/>
    </dxf>
    <dxf>
      <numFmt numFmtId="164" formatCode="_(&quot;$&quot;* #,##0_);_(&quot;$&quot;* \(#,##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alignment horizontal="center"/>
    </dxf>
    <dxf>
      <numFmt numFmtId="34" formatCode="_(&quot;$&quot;* #,##0.00_);_(&quot;$&quot;* \(#,##0.00\);_(&quot;$&quot;* &quot;-&quot;??_);_(@_)"/>
    </dxf>
    <dxf>
      <numFmt numFmtId="164" formatCode="_(&quot;$&quot;* #,##0_);_(&quot;$&quot;* \(#,##0\);_(&quot;$&quot;* &quot;-&quot;??_);_(@_)"/>
    </dxf>
    <dxf>
      <numFmt numFmtId="164" formatCode="_(&quot;$&quot;* #,##0_);_(&quot;$&quot;* \(#,##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alignment horizontal="center"/>
    </dxf>
    <dxf>
      <numFmt numFmtId="34" formatCode="_(&quot;$&quot;* #,##0.00_);_(&quot;$&quot;* \(#,##0.00\);_(&quot;$&quot;* &quot;-&quot;??_);_(@_)"/>
    </dxf>
    <dxf>
      <numFmt numFmtId="164" formatCode="_(&quot;$&quot;* #,##0_);_(&quot;$&quot;* \(#,##0\);_(&quot;$&quot;* &quot;-&quot;??_);_(@_)"/>
    </dxf>
    <dxf>
      <numFmt numFmtId="164" formatCode="_(&quot;$&quot;* #,##0_);_(&quot;$&quot;* \(#,##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alignment horizontal="center"/>
    </dxf>
    <dxf>
      <numFmt numFmtId="34" formatCode="_(&quot;$&quot;* #,##0.00_);_(&quot;$&quot;* \(#,##0.00\);_(&quot;$&quot;* &quot;-&quot;??_);_(@_)"/>
    </dxf>
    <dxf>
      <numFmt numFmtId="164" formatCode="_(&quot;$&quot;* #,##0_);_(&quot;$&quot;* \(#,##0\);_(&quot;$&quot;* &quot;-&quot;??_);_(@_)"/>
    </dxf>
    <dxf>
      <numFmt numFmtId="164" formatCode="_(&quot;$&quot;* #,##0_);_(&quot;$&quot;* \(#,##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alignment horizontal="center"/>
    </dxf>
    <dxf>
      <numFmt numFmtId="34" formatCode="_(&quot;$&quot;* #,##0.00_);_(&quot;$&quot;* \(#,##0.00\);_(&quot;$&quot;* &quot;-&quot;??_);_(@_)"/>
    </dxf>
    <dxf>
      <numFmt numFmtId="164" formatCode="_(&quot;$&quot;* #,##0_);_(&quot;$&quot;* \(#,##0\);_(&quot;$&quot;* &quot;-&quot;??_);_(@_)"/>
    </dxf>
    <dxf>
      <numFmt numFmtId="164" formatCode="_(&quot;$&quot;* #,##0_);_(&quot;$&quot;* \(#,##0\);_(&quot;$&quot;* &quot;-&quot;??_);_(@_)"/>
    </dxf>
    <dxf>
      <numFmt numFmtId="19" formatCode="m/d/yy"/>
    </dxf>
  </dxfs>
  <tableStyles count="0" defaultTableStyle="TableStyleMedium2" defaultPivotStyle="PivotStyleLight16"/>
  <colors>
    <mruColors>
      <color rgb="FF855BFF"/>
      <color rgb="FF2F215A"/>
      <color rgb="FF201738"/>
      <color rgb="FF271B4E"/>
      <color rgb="FF1C1A3F"/>
      <color rgb="FF27245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[Datosveterinaria Excel.xlsx]x!!PivotTable4</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'x!'!$B$12</c:f>
              <c:strCache>
                <c:ptCount val="1"/>
                <c:pt idx="0">
                  <c:v>Total</c:v>
                </c:pt>
              </c:strCache>
            </c:strRef>
          </c:tx>
          <c:spPr>
            <a:solidFill>
              <a:schemeClr val="accent1"/>
            </a:solidFill>
            <a:ln>
              <a:noFill/>
            </a:ln>
            <a:effectLst/>
          </c:spPr>
          <c:invertIfNegative val="0"/>
          <c:cat>
            <c:strRef>
              <c:f>'x!'!$A$13:$A$19</c:f>
              <c:strCache>
                <c:ptCount val="6"/>
                <c:pt idx="0">
                  <c:v>Consulta general</c:v>
                </c:pt>
                <c:pt idx="1">
                  <c:v>Control de peso</c:v>
                </c:pt>
                <c:pt idx="2">
                  <c:v>Emergencia</c:v>
                </c:pt>
                <c:pt idx="3">
                  <c:v>Esterilización</c:v>
                </c:pt>
                <c:pt idx="4">
                  <c:v>Vacunación</c:v>
                </c:pt>
                <c:pt idx="5">
                  <c:v>(blank)</c:v>
                </c:pt>
              </c:strCache>
            </c:strRef>
          </c:cat>
          <c:val>
            <c:numRef>
              <c:f>'x!'!$B$13:$B$19</c:f>
              <c:numCache>
                <c:formatCode>_("$"* #,##0_);_("$"* \(#,##0\);_("$"* "-"??_);_(@_)</c:formatCode>
                <c:ptCount val="6"/>
                <c:pt idx="0">
                  <c:v>2035907</c:v>
                </c:pt>
                <c:pt idx="1">
                  <c:v>3404357</c:v>
                </c:pt>
                <c:pt idx="2">
                  <c:v>4238188</c:v>
                </c:pt>
                <c:pt idx="3">
                  <c:v>3141975</c:v>
                </c:pt>
                <c:pt idx="4">
                  <c:v>3073066</c:v>
                </c:pt>
              </c:numCache>
            </c:numRef>
          </c:val>
          <c:extLst>
            <c:ext xmlns:c16="http://schemas.microsoft.com/office/drawing/2014/chart" uri="{C3380CC4-5D6E-409C-BE32-E72D297353CC}">
              <c16:uniqueId val="{00000000-ECD1-454E-B69E-15703625E925}"/>
            </c:ext>
          </c:extLst>
        </c:ser>
        <c:dLbls>
          <c:showLegendKey val="0"/>
          <c:showVal val="0"/>
          <c:showCatName val="0"/>
          <c:showSerName val="0"/>
          <c:showPercent val="0"/>
          <c:showBubbleSize val="0"/>
        </c:dLbls>
        <c:gapWidth val="182"/>
        <c:axId val="1971403567"/>
        <c:axId val="1972006719"/>
      </c:barChart>
      <c:catAx>
        <c:axId val="1971403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2006719"/>
        <c:crosses val="autoZero"/>
        <c:auto val="1"/>
        <c:lblAlgn val="ctr"/>
        <c:lblOffset val="100"/>
        <c:noMultiLvlLbl val="0"/>
      </c:catAx>
      <c:valAx>
        <c:axId val="1972006719"/>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1403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[Datosveterinaria Excel.xlsx]x!!PivotTable1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'x!'!$B$39</c:f>
              <c:strCache>
                <c:ptCount val="1"/>
                <c:pt idx="0">
                  <c:v>Total</c:v>
                </c:pt>
              </c:strCache>
            </c:strRef>
          </c:tx>
          <c:spPr>
            <a:solidFill>
              <a:schemeClr val="accent1"/>
            </a:solidFill>
            <a:ln>
              <a:noFill/>
            </a:ln>
            <a:effectLst/>
          </c:spPr>
          <c:invertIfNegative val="0"/>
          <c:cat>
            <c:strRef>
              <c:f>'x!'!$A$40:$A$45</c:f>
              <c:strCache>
                <c:ptCount val="5"/>
                <c:pt idx="0">
                  <c:v>Charles Garcia</c:v>
                </c:pt>
                <c:pt idx="1">
                  <c:v>Dana Flores</c:v>
                </c:pt>
                <c:pt idx="2">
                  <c:v>Kevin Rodriguez</c:v>
                </c:pt>
                <c:pt idx="3">
                  <c:v>Mary Hurley</c:v>
                </c:pt>
                <c:pt idx="4">
                  <c:v>Scott Smith</c:v>
                </c:pt>
              </c:strCache>
            </c:strRef>
          </c:cat>
          <c:val>
            <c:numRef>
              <c:f>'x!'!$B$40:$B$45</c:f>
              <c:numCache>
                <c:formatCode>_("$"* #,##0.00_);_("$"* \(#,##0.00\);_("$"* "-"??_);_(@_)</c:formatCode>
                <c:ptCount val="5"/>
                <c:pt idx="0">
                  <c:v>198799</c:v>
                </c:pt>
                <c:pt idx="1">
                  <c:v>193325</c:v>
                </c:pt>
                <c:pt idx="2">
                  <c:v>198706</c:v>
                </c:pt>
                <c:pt idx="3">
                  <c:v>199374</c:v>
                </c:pt>
                <c:pt idx="4">
                  <c:v>199187</c:v>
                </c:pt>
              </c:numCache>
            </c:numRef>
          </c:val>
          <c:extLst>
            <c:ext xmlns:c16="http://schemas.microsoft.com/office/drawing/2014/chart" uri="{C3380CC4-5D6E-409C-BE32-E72D297353CC}">
              <c16:uniqueId val="{00000000-C2DA-DB48-A8B4-C0EF12A29E4A}"/>
            </c:ext>
          </c:extLst>
        </c:ser>
        <c:dLbls>
          <c:showLegendKey val="0"/>
          <c:showVal val="0"/>
          <c:showCatName val="0"/>
          <c:showSerName val="0"/>
          <c:showPercent val="0"/>
          <c:showBubbleSize val="0"/>
        </c:dLbls>
        <c:gapWidth val="182"/>
        <c:axId val="686486575"/>
        <c:axId val="1853226863"/>
      </c:barChart>
      <c:catAx>
        <c:axId val="686486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226863"/>
        <c:crosses val="autoZero"/>
        <c:auto val="1"/>
        <c:lblAlgn val="ctr"/>
        <c:lblOffset val="100"/>
        <c:noMultiLvlLbl val="0"/>
      </c:catAx>
      <c:valAx>
        <c:axId val="1853226863"/>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486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[Datosveterinaria Excel.xlsx]x!!PivotTable3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'x!'!$B$82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'x!'!$A$83:$A$95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'x!'!$B$83:$B$95</c:f>
              <c:numCache>
                <c:formatCode>_("$"* #,##0.00_);_("$"* \(#,##0.00\);_("$"* "-"??_);_(@_)</c:formatCode>
                <c:ptCount val="12"/>
                <c:pt idx="0">
                  <c:v>1136716</c:v>
                </c:pt>
                <c:pt idx="1">
                  <c:v>724241</c:v>
                </c:pt>
                <c:pt idx="2">
                  <c:v>2230198</c:v>
                </c:pt>
                <c:pt idx="3">
                  <c:v>1948383</c:v>
                </c:pt>
                <c:pt idx="4">
                  <c:v>1637270</c:v>
                </c:pt>
                <c:pt idx="5">
                  <c:v>1288022</c:v>
                </c:pt>
                <c:pt idx="6">
                  <c:v>1024246</c:v>
                </c:pt>
                <c:pt idx="7">
                  <c:v>1490179</c:v>
                </c:pt>
                <c:pt idx="8">
                  <c:v>1803340</c:v>
                </c:pt>
                <c:pt idx="9">
                  <c:v>845800</c:v>
                </c:pt>
                <c:pt idx="10">
                  <c:v>1634881</c:v>
                </c:pt>
                <c:pt idx="11">
                  <c:v>130217</c:v>
                </c:pt>
              </c:numCache>
            </c:numRef>
          </c:val>
          <c:smooth val="0"/>
          <c:extLst>
            <c:ext xmlns:c16="http://schemas.microsoft.com/office/drawing/2014/chart" uri="{C3380CC4-5D6E-409C-BE32-E72D297353CC}">
              <c16:uniqueId val="{00000000-09E0-604C-89D0-948FD5DA38CC}"/>
            </c:ext>
          </c:extLst>
        </c:ser>
        <c:dLbls>
          <c:showLegendKey val="0"/>
          <c:showVal val="0"/>
          <c:showCatName val="0"/>
          <c:showSerName val="0"/>
          <c:showPercent val="0"/>
          <c:showBubbleSize val="0"/>
        </c:dLbls>
        <c:marker val="1"/>
        <c:smooth val="0"/>
        <c:axId val="686507775"/>
        <c:axId val="686424527"/>
      </c:lineChart>
      <c:catAx>
        <c:axId val="686507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424527"/>
        <c:crosses val="autoZero"/>
        <c:auto val="1"/>
        <c:lblAlgn val="ctr"/>
        <c:lblOffset val="100"/>
        <c:noMultiLvlLbl val="0"/>
      </c:catAx>
      <c:valAx>
        <c:axId val="686424527"/>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507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[Datosveterinaria Excel.xlsx]x!!PivotTable4</c:name>
    <c:fmtId val="8"/>
  </c:pivotSource>
  <c:chart>
    <c:title>
      <c:tx>
        <c:rich>
          <a:bodyPr rot="0" spcFirstLastPara="1" vertOverflow="ellipsis" vert="horz" wrap="square" anchor="ctr" anchorCtr="1"/>
          <a:lstStyle/>
          <a:p>
            <a:pPr>
              <a:defRPr sz="1600" b="0" i="0" u="none" strike="noStrike" kern="1200" spc="0" baseline="0">
                <a:solidFill>
                  <a:schemeClr val="bg1"/>
                </a:solidFill>
                <a:latin typeface="+mn-lt"/>
                <a:ea typeface="+mn-ea"/>
                <a:cs typeface="+mn-cs"/>
              </a:defRPr>
            </a:pPr>
            <a:r>
              <a:rPr lang="en-US" sz="1600"/>
              <a:t>Ingreso por Departamento</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55B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855BF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855BF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855BF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855BF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855BF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561172377174982"/>
          <c:y val="0.14972111822247988"/>
          <c:w val="0.72696890565789296"/>
          <c:h val="0.80587520692048908"/>
        </c:manualLayout>
      </c:layout>
      <c:barChart>
        <c:barDir val="bar"/>
        <c:grouping val="clustered"/>
        <c:varyColors val="0"/>
        <c:ser>
          <c:idx val="0"/>
          <c:order val="0"/>
          <c:tx>
            <c:strRef>
              <c:f>'x!'!$B$12</c:f>
              <c:strCache>
                <c:ptCount val="1"/>
                <c:pt idx="0">
                  <c:v>Total</c:v>
                </c:pt>
              </c:strCache>
            </c:strRef>
          </c:tx>
          <c:spPr>
            <a:solidFill>
              <a:srgbClr val="855BFF"/>
            </a:solidFill>
            <a:ln>
              <a:noFill/>
            </a:ln>
            <a:effectLst/>
          </c:spPr>
          <c:invertIfNegative val="0"/>
          <c:dLbls>
            <c:dLbl>
              <c:idx val="0"/>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CC1-E04C-9159-AAD28784CD05}"/>
                </c:ext>
              </c:extLst>
            </c:dLbl>
            <c:dLbl>
              <c:idx val="1"/>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CC1-E04C-9159-AAD28784CD05}"/>
                </c:ext>
              </c:extLst>
            </c:dLbl>
            <c:dLbl>
              <c:idx val="2"/>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CC1-E04C-9159-AAD28784CD05}"/>
                </c:ext>
              </c:extLst>
            </c:dLbl>
            <c:dLbl>
              <c:idx val="3"/>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CC1-E04C-9159-AAD28784CD05}"/>
                </c:ext>
              </c:extLst>
            </c:dLbl>
            <c:dLbl>
              <c:idx val="4"/>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CC1-E04C-9159-AAD28784CD0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'x!'!$A$13:$A$19</c:f>
              <c:strCache>
                <c:ptCount val="6"/>
                <c:pt idx="0">
                  <c:v>Consulta general</c:v>
                </c:pt>
                <c:pt idx="1">
                  <c:v>Control de peso</c:v>
                </c:pt>
                <c:pt idx="2">
                  <c:v>Emergencia</c:v>
                </c:pt>
                <c:pt idx="3">
                  <c:v>Esterilización</c:v>
                </c:pt>
                <c:pt idx="4">
                  <c:v>Vacunación</c:v>
                </c:pt>
                <c:pt idx="5">
                  <c:v>(blank)</c:v>
                </c:pt>
              </c:strCache>
            </c:strRef>
          </c:cat>
          <c:val>
            <c:numRef>
              <c:f>'x!'!$B$13:$B$19</c:f>
              <c:numCache>
                <c:formatCode>_("$"* #,##0_);_("$"* \(#,##0\);_("$"* "-"??_);_(@_)</c:formatCode>
                <c:ptCount val="6"/>
                <c:pt idx="0">
                  <c:v>2035907</c:v>
                </c:pt>
                <c:pt idx="1">
                  <c:v>3404357</c:v>
                </c:pt>
                <c:pt idx="2">
                  <c:v>4238188</c:v>
                </c:pt>
                <c:pt idx="3">
                  <c:v>3141975</c:v>
                </c:pt>
                <c:pt idx="4">
                  <c:v>3073066</c:v>
                </c:pt>
              </c:numCache>
            </c:numRef>
          </c:val>
          <c:extLst>
            <c:ext xmlns:c16="http://schemas.microsoft.com/office/drawing/2014/chart" uri="{C3380CC4-5D6E-409C-BE32-E72D297353CC}">
              <c16:uniqueId val="{00000000-131E-8841-84A1-3D502C5042F5}"/>
            </c:ext>
          </c:extLst>
        </c:ser>
        <c:dLbls>
          <c:showLegendKey val="0"/>
          <c:showVal val="0"/>
          <c:showCatName val="0"/>
          <c:showSerName val="0"/>
          <c:showPercent val="0"/>
          <c:showBubbleSize val="0"/>
        </c:dLbls>
        <c:gapWidth val="182"/>
        <c:axId val="1971403567"/>
        <c:axId val="1972006719"/>
      </c:barChart>
      <c:catAx>
        <c:axId val="1971403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72006719"/>
        <c:crosses val="autoZero"/>
        <c:auto val="1"/>
        <c:lblAlgn val="ctr"/>
        <c:lblOffset val="100"/>
        <c:noMultiLvlLbl val="0"/>
      </c:catAx>
      <c:valAx>
        <c:axId val="1972006719"/>
        <c:scaling>
          <c:orientation val="minMax"/>
        </c:scaling>
        <c:delete val="1"/>
        <c:axPos val="b"/>
        <c:numFmt formatCode="_(&quot;$&quot;* #,##0_);_(&quot;$&quot;* \(#,##0\);_(&quot;$&quot;* &quot;-&quot;??_);_(@_)" sourceLinked="1"/>
        <c:majorTickMark val="none"/>
        <c:minorTickMark val="none"/>
        <c:tickLblPos val="nextTo"/>
        <c:crossAx val="197140356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[Datosveterinaria Excel.xlsx]x!!PivotTable3</c:name>
    <c:fmtId val="2"/>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solidFill>
                  <a:schemeClr val="bg1"/>
                </a:solidFill>
              </a:rPr>
              <a:t>Ingreso</a:t>
            </a:r>
            <a:r>
              <a:rPr lang="en-US" sz="1600" baseline="0">
                <a:solidFill>
                  <a:schemeClr val="bg1"/>
                </a:solidFill>
              </a:rPr>
              <a:t> por Mes</a:t>
            </a:r>
            <a:endParaRPr lang="en-US" sz="1600">
              <a:solidFill>
                <a:schemeClr val="bg1"/>
              </a:solidFill>
            </a:endParaRPr>
          </a:p>
        </c:rich>
      </c:tx>
      <c:overlay val="1"/>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855BFF"/>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alpha val="84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'x!'!$B$82</c:f>
              <c:strCache>
                <c:ptCount val="1"/>
                <c:pt idx="0">
                  <c:v>Total</c:v>
                </c:pt>
              </c:strCache>
            </c:strRef>
          </c:tx>
          <c:spPr>
            <a:ln w="28575" cap="rnd">
              <a:solidFill>
                <a:srgbClr val="855BFF"/>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alpha val="84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'x!'!$A$83:$A$95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'x!'!$B$83:$B$95</c:f>
              <c:numCache>
                <c:formatCode>_("$"* #,##0.00_);_("$"* \(#,##0.00\);_("$"* "-"??_);_(@_)</c:formatCode>
                <c:ptCount val="12"/>
                <c:pt idx="0">
                  <c:v>1136716</c:v>
                </c:pt>
                <c:pt idx="1">
                  <c:v>724241</c:v>
                </c:pt>
                <c:pt idx="2">
                  <c:v>2230198</c:v>
                </c:pt>
                <c:pt idx="3">
                  <c:v>1948383</c:v>
                </c:pt>
                <c:pt idx="4">
                  <c:v>1637270</c:v>
                </c:pt>
                <c:pt idx="5">
                  <c:v>1288022</c:v>
                </c:pt>
                <c:pt idx="6">
                  <c:v>1024246</c:v>
                </c:pt>
                <c:pt idx="7">
                  <c:v>1490179</c:v>
                </c:pt>
                <c:pt idx="8">
                  <c:v>1803340</c:v>
                </c:pt>
                <c:pt idx="9">
                  <c:v>845800</c:v>
                </c:pt>
                <c:pt idx="10">
                  <c:v>1634881</c:v>
                </c:pt>
                <c:pt idx="11">
                  <c:v>130217</c:v>
                </c:pt>
              </c:numCache>
            </c:numRef>
          </c:val>
          <c:smooth val="0"/>
          <c:extLst>
            <c:ext xmlns:c16="http://schemas.microsoft.com/office/drawing/2014/chart" uri="{C3380CC4-5D6E-409C-BE32-E72D297353CC}">
              <c16:uniqueId val="{00000000-65C4-8E40-BC3F-A48B7D0D3529}"/>
            </c:ext>
          </c:extLst>
        </c:ser>
        <c:dLbls>
          <c:showLegendKey val="0"/>
          <c:showVal val="0"/>
          <c:showCatName val="0"/>
          <c:showSerName val="0"/>
          <c:showPercent val="0"/>
          <c:showBubbleSize val="0"/>
        </c:dLbls>
        <c:marker val="1"/>
        <c:smooth val="0"/>
        <c:axId val="686507775"/>
        <c:axId val="686424527"/>
      </c:lineChart>
      <c:catAx>
        <c:axId val="686507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86424527"/>
        <c:crosses val="autoZero"/>
        <c:auto val="1"/>
        <c:lblAlgn val="ctr"/>
        <c:lblOffset val="100"/>
        <c:noMultiLvlLbl val="0"/>
      </c:catAx>
      <c:valAx>
        <c:axId val="686424527"/>
        <c:scaling>
          <c:orientation val="minMax"/>
        </c:scaling>
        <c:delete val="1"/>
        <c:axPos val="l"/>
        <c:numFmt formatCode="_(&quot;$&quot;* #,##0.00_);_(&quot;$&quot;* \(#,##0.00\);_(&quot;$&quot;* &quot;-&quot;??_);_(@_)" sourceLinked="1"/>
        <c:majorTickMark val="none"/>
        <c:minorTickMark val="none"/>
        <c:tickLblPos val="nextTo"/>
        <c:crossAx val="686507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[Datosveterinaria Excel.xlsx]x!!PivotTable1</c:name>
    <c:fmtId val="8"/>
  </c:pivotSource>
  <c:chart>
    <c:title>
      <c:tx>
        <c:rich>
          <a:bodyPr rot="0" spcFirstLastPara="1" vertOverflow="ellipsis" vert="horz" wrap="square" anchor="ctr" anchorCtr="1"/>
          <a:lstStyle/>
          <a:p>
            <a:pPr>
              <a:defRPr sz="1400" b="0" i="0" u="none" strike="noStrike" kern="1200" spc="0" baseline="0">
                <a:solidFill>
                  <a:schemeClr val="bg1">
                    <a:lumMod val="95000"/>
                  </a:schemeClr>
                </a:solidFill>
                <a:latin typeface="+mn-lt"/>
                <a:ea typeface="+mn-ea"/>
                <a:cs typeface="+mn-cs"/>
              </a:defRPr>
            </a:pPr>
            <a:r>
              <a:rPr lang="en-US">
                <a:solidFill>
                  <a:schemeClr val="bg1">
                    <a:lumMod val="95000"/>
                  </a:schemeClr>
                </a:solidFill>
              </a:rPr>
              <a:t>Top</a:t>
            </a:r>
            <a:r>
              <a:rPr lang="en-US" baseline="0">
                <a:solidFill>
                  <a:schemeClr val="bg1">
                    <a:lumMod val="95000"/>
                  </a:schemeClr>
                </a:solidFill>
              </a:rPr>
              <a:t> 5 Pacientes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lumMod val="9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55B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3"/>
        <c:spPr>
          <a:solidFill>
            <a:srgbClr val="855BFF"/>
          </a:solidFill>
          <a:ln>
            <a:noFill/>
          </a:ln>
          <a:effectLst/>
        </c:spPr>
      </c:pivotFmt>
      <c:pivotFmt>
        <c:idx val="4"/>
        <c:spPr>
          <a:solidFill>
            <a:srgbClr val="855BFF"/>
          </a:solidFill>
          <a:ln>
            <a:noFill/>
          </a:ln>
          <a:effectLst/>
        </c:spPr>
      </c:pivotFmt>
      <c:pivotFmt>
        <c:idx val="5"/>
        <c:spPr>
          <a:solidFill>
            <a:srgbClr val="855BFF"/>
          </a:solidFill>
          <a:ln>
            <a:noFill/>
          </a:ln>
          <a:effectLst/>
        </c:spPr>
      </c:pivotFmt>
    </c:pivotFmts>
    <c:plotArea>
      <c:layout/>
      <c:barChart>
        <c:barDir val="col"/>
        <c:grouping val="clustered"/>
        <c:varyColors val="0"/>
        <c:ser>
          <c:idx val="0"/>
          <c:order val="0"/>
          <c:tx>
            <c:strRef>
              <c:f>'x!'!$B$39</c:f>
              <c:strCache>
                <c:ptCount val="1"/>
                <c:pt idx="0">
                  <c:v>Total</c:v>
                </c:pt>
              </c:strCache>
            </c:strRef>
          </c:tx>
          <c:spPr>
            <a:solidFill>
              <a:srgbClr val="855B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'x!'!$A$40:$A$45</c:f>
              <c:strCache>
                <c:ptCount val="5"/>
                <c:pt idx="0">
                  <c:v>Charles Garcia</c:v>
                </c:pt>
                <c:pt idx="1">
                  <c:v>Dana Flores</c:v>
                </c:pt>
                <c:pt idx="2">
                  <c:v>Kevin Rodriguez</c:v>
                </c:pt>
                <c:pt idx="3">
                  <c:v>Mary Hurley</c:v>
                </c:pt>
                <c:pt idx="4">
                  <c:v>Scott Smith</c:v>
                </c:pt>
              </c:strCache>
            </c:strRef>
          </c:cat>
          <c:val>
            <c:numRef>
              <c:f>'x!'!$B$40:$B$45</c:f>
              <c:numCache>
                <c:formatCode>_("$"* #,##0.00_);_("$"* \(#,##0.00\);_("$"* "-"??_);_(@_)</c:formatCode>
                <c:ptCount val="5"/>
                <c:pt idx="0">
                  <c:v>198799</c:v>
                </c:pt>
                <c:pt idx="1">
                  <c:v>193325</c:v>
                </c:pt>
                <c:pt idx="2">
                  <c:v>198706</c:v>
                </c:pt>
                <c:pt idx="3">
                  <c:v>199374</c:v>
                </c:pt>
                <c:pt idx="4">
                  <c:v>199187</c:v>
                </c:pt>
              </c:numCache>
            </c:numRef>
          </c:val>
          <c:extLst>
            <c:ext xmlns:c16="http://schemas.microsoft.com/office/drawing/2014/chart" uri="{C3380CC4-5D6E-409C-BE32-E72D297353CC}">
              <c16:uniqueId val="{00000000-762A-4D46-A5E9-C9E072731360}"/>
            </c:ext>
          </c:extLst>
        </c:ser>
        <c:dLbls>
          <c:showLegendKey val="0"/>
          <c:showVal val="0"/>
          <c:showCatName val="0"/>
          <c:showSerName val="0"/>
          <c:showPercent val="0"/>
          <c:showBubbleSize val="0"/>
        </c:dLbls>
        <c:gapWidth val="182"/>
        <c:axId val="686486575"/>
        <c:axId val="1853226863"/>
      </c:barChart>
      <c:catAx>
        <c:axId val="686486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53226863"/>
        <c:crosses val="autoZero"/>
        <c:auto val="1"/>
        <c:lblAlgn val="ctr"/>
        <c:lblOffset val="100"/>
        <c:noMultiLvlLbl val="0"/>
      </c:catAx>
      <c:valAx>
        <c:axId val="1853226863"/>
        <c:scaling>
          <c:orientation val="minMax"/>
        </c:scaling>
        <c:delete val="1"/>
        <c:axPos val="l"/>
        <c:numFmt formatCode="_(&quot;$&quot;* #,##0.00_);_(&quot;$&quot;* \(#,##0.00\);_(&quot;$&quot;* &quot;-&quot;??_);_(@_)" sourceLinked="1"/>
        <c:majorTickMark val="none"/>
        <c:minorTickMark val="none"/>
        <c:tickLblPos val="nextTo"/>
        <c:crossAx val="68648657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4D25EB6B-803A-5746-BAA1-C8B093616088}">
          <cx:dataId val="0"/>
          <cx:layoutPr>
            <cx:geography cultureLanguage="en-US" cultureRegion="US" attribution="Powered by Bing">
              <cx:geoCache provider="{E9337A44-BEBE-4D9F-B70C-5C5E7DAFC167}">
                <cx:binary>1HtZc91G0uVfUeh5INe+dLQ7YoC7chM3UaJfEBRJASgshaUAVOHXT15Ssk1abeubcMSMKYeoe7HU
kpknT54s//ve/+u+erzr3/i6aoZ/3fuf3+bOtf/66afhPn+s74Z3dXHf28F+ce/ubf2T/fKluH/8
6aG/m4sm+4kgzH66z+969+jf/uff8Lbs0Z7Y+ztX2OZifOzD5eMwVm74k2vfvfTm3o6NOzyewZt+
fvuhKdzjw5srd+ceh7dvHhtXuHAd2sef37648+2bn16/7w9jv6lgem58gGepfscR5ZJRiZ5+6Ns3
lW2yr5cjrd8hrKigmumnH/Zt7LO7Gp7/4Wk9Teru4aF/HIY3X3//4fEXK/nD1WKwyfOmJPYw9w9X
T4v96eWm/+ffr76A5b/65nd2eb1Xf3UJpl4XzaoYXF/cO/zz2/PHphlCNd01xd23rXk2y4s7/4dm
Yeid0kJo9WwUhPBLs0j5TlGltJTo2Szq29jPZvnRWX3fKi+ffrEOWPD/fvsXvvn/pZ3OHuc3R4/9
8Bi+7dTfYiVMNdKc4mc7kVdWYu+EVBww4tlI+lXw/Nicvm+j3z/7ykJnR/9IC13mENVv9kN11zz8
jTbC7wRRRHP11QYQKb8HOInfcawUEow/3wAA+Ayuz5H0o7P6vpVePv3KTpf7f6SdEts0j/euuB/d
t636G0IJzCA55pTy51B6DXjknaSKKEz4t0Gf7fODs/m+eV48/Mo6yfU/0jqnd8Nwd5+Pw6Nzr3jC
iwX+TxMSeYcloZJJ+n37QJghYBJUyZf2+eH5fN9Crx5/sYSf357+c3PRre3Lbzv1N4QPeaepJoxS
8myeVzROckBBhLjAX2mc+Db2cxQdsslfzej7BvrtyVe2Obv9R8bPYT27u7od8qJ//LZJf4OB6Duh
YPv1N3x7baAD/klBgE38SiV+n4Z+eFr/3Uq/W9VrU+3+kaY6vevD30sWqHqnOZGU61ckQbyTCBMI
sa/h84ok/MhMvm+Y3558ZZPT1T/SJjePfW2bv5MYsHdIcgJ/XkcMeScEEVoo+kzcXhGDH5jJ903y
64OvLHLzzyQEq8fqbr77O7EMNAOEFIAVxMnzz6to4e+YUIJR/JVzv7LMj8zo+6b57clXtlmt/99E
y38XFn4VXVZ37m79pNb8Tlv486tPiwcd6dWjX+uS7yaj51yxfwBFhysG5PlXFejwkhcVzcc7yG1N
5mzzLb397rHHu8H9/DbCWLzTmHIhoG6inDNgdfPj8yXCgIoL+pWLN7Z3+c9v2cEnCGMaxCTBGFTE
b98Mdny6xN9xxqFQpphIxjDM7tsCz20VMtv8uhtfP79pxvrcFo0bfn4LvtM+33WYJVMcAh5rzJDA
SBDMoJxr7+8uYUFwM/5fi126MRpGcVFPVb0kTeHHi74anIj93A2//G5jvjPY4WWvBtMaa5DGNBNQ
ekB9//vBMu5ZJXPHLvIotLcNs+Q6uEnflIXrRQyMq73NkGR3ejI95NhfbfKjQx+4tlJCCtjUl0MX
UYm9s5hdLNrD0LqP9HoKs/RrOQp8TZXHJB5QT2gypEtUxH8+/OH1L1cuCSMYKQ0xTPHr4Qktskab
il5UdVQWiYom1yXIjUt7VNjDcL5W6uTPxyTgI38cFFyFYYkFlvTVdjdtk45Zq8kFJw25bqiie1KL
pdtIovVN67g6YQWFwUc89sM2d6N7EO1QbKsIwCrphC22rcyM3w1Rn6XrZVnYnVBk6JKUTwgfT20a
8KpYbFTFQ4vrfOWrhtLkz9cBsfGHZQgqOReEY0QZemk6NSs6epmTCzxG4Ctjxfa+Gku/UYPH11UR
7LEv+fDw56MCRfnjqBrCQ4KYQeD3y1FFhKTxvMcXBk/4uomWYtvJJv+CjO8uAl78JWctPuNS50sc
8rHY/vn4fwxMCYAP9Z9AGvzmdaxMWjdlV3p8ISLhL4tDwAQ9+vNs6vDZnw+Fv+MoFGuILIVgQK5e
gUAapGsQGvEFK7S/jNq8KTdTgdMqTikdHnzJ2N2ExCE6UV0nrZwhWCIj/bkp8+gvzP29hVPEAC2x
5PQPXktYZHWHUnQxug6ChMm0sifE1WiKi6bU/xdBIgH2IC7hDzAj9tLOuDWoiOhELvrBqVUT8mpJ
WObt8SiRPa57w/Z0Guxx1xXg5bpa8Fk9aZ8lweBojrFZ7HEkJn+Zddxn6xIRdeLKSa+xE/48z6du
hrcaiDKuGj8f6RyN1eYvDPgdeJEE7AfdE041eOzLRZgqS0cVNL5IU4O6zSL7fvfkN97V7W3f11FS
qRlwL8AG1mrW66xYqiIZgu52bajLLC5K1lXbZV6qfoVTNDyoHvnLP5/n96ZJGVMMMZgsKFMvpxl5
Mk4iZfiCLxI25Gmbcdu3txil+Lqr+r/y7IOa9SKKQUQBr4acizBHCmTllyPWLiMGlWG4mFtqj7mr
+V2q/eEvarJ4RNSf91QMIk6LNO3XaDJ5E89z0FfFWBZtTJvgHqidwNMRIACKIAgKygA4Dz7xtEUD
ZA0R4yLXJ8Mk7XHAVJ1EUcH2RMKCljDa4z/fRljB62XBSsDOFDyXMCnUK6ddVKllV4TswkISSnQb
ln5lZGTed7QKbtdM+TQnRk7GrQiPKpEUU53mG51nhYkreDdKgm91QgyZ1qh2cjMtWeR2uRhGnDQ4
CzSOUp4uK0QXncUon6MPbVRnboWktX08ZyHnCdMyH1aIIIgMM8zjGlKAaOPSVDZmqoWGXuPyYzXU
5oTUyp5NJpXdStkejXFLqugTDrJ8j22o7lE54FUFPCCPSViWFuY35Q+B2yCOXMihheQgfx9B86Cm
cUdNe96h3NaJz7VIY2YHtOIyV108SRm1N2NTmXlFUymvtO5yFHcmK0Xck6mb4ppn/RJroUOfCEfU
5y6qepU09eDK3eIXR+JuHFm/J10oon2qMDsh2Zi3cTulR0hofRXmCY+JZFPWX0QzxSw23DU86QZS
5kmdZ217LrO66hOvWZ6ulJn1TZaPkHZL8BEZRgg5YYNed3U+Z2ugBnotsVtgdpbzu0EzoAmNArQB
CghAPLWQBYYiwGNBDlW+SmkTJWpIKxZ7bCp5okpZjpCZcY5VmyzNiGR7RDNkwqmgtjuJvFZ4kwVb
52XcFl7tWVbkZ1Op3b1qSmHjjORoiwrTrzSts7OesH7T6yK2nW1vZ4SWT3hQxRGZlF8p4AGfg7M2
4UU3bKUm6YYs1P5S64F/sjTicSfa/AEcxT9mY2pcvORZs0IjmCfJU9ds+6zlqxrLKQHHqhHN4rTx
XsUhikKsrHtgHRKJ50XWXkdcFeXx1KihZEdNU+n6Wk6pRRocoApWrmpZq6iMXWBSiTKG7kRK4Dcm
M+FtUrIiwnlchCiIeqVKrNtPUT4JCtMtTdOvQhdqtYnQgfws3F/asoSdbqLJHqNMARkCBGd3nZol
XQ/V3Ia4ztLqg48GsFhIHSSFEOiYTFIDrmgLWFEE8Mo4VxiSKWs6eIfGsr3V/QCWFXgBoxbGRglC
vVrNegb3AlIOpi8ngOyCZRejVItLliDYXcrnOc4KBHzVVQrQqJ75nU8XfTMTMjwMS872YhQAPAxw
SLJar+s+74a4gwhVSV1TeH3oOEwOKg57DLQuvRnFpFZlqO1x2ZTkukP8cJOt9IlzE+AzwFmaxhXT
dbbC2ME32eJhTVMBxAfkUfhikaUtN4rD5vQEMnXsKgp39Dk2Z2PTAcRoDrPKulqfaGn9JeECknoR
AaI+YSRwOHWSckii0nT9LrVqeOj0YSt1z/D1MIzwz6fZ1uOYmZh2zJ9boJ0kHnkRzrsnLlJWgvXv
m7rsd1k24bNxAYtMDJhhIDO+nvCi14SYcDkWUG7QypBrkxJIz8638yoc2GMgsPe4DrAoCEkYqcyn
4aGw4Azm8K+pD+0QZwbYJyonfqcqyKL6QI/aCrJtp7Pu1pQ1sF9fDOHyiSgsZdeEI28qcUc88Hsz
VGDaDibjiTIPjFYS9kJSurddhM5QDiEtbIrOhr4q7Qm4EdiOHGbb2A4Sz2D73ZDCjJBBQMKt7fSa
47K9TccKsnkoSdSvU6KBpQ9LncaTFcHuu6GHmU/wzBRbOwd/0kV9UydPBGc8UJVyMe7hufihB+oT
jDb1quKBVQmLys7EshUjO515UCd5zdldLmlfbSHtwARb4s0Sq6iZzbqtcfq5inIYvHkKIZxy4zeT
7w80CDKPW/XzhWLz8FDpAWzUpgrIHXzUGYYE3DAO2GYPpUqZ18UWBwzEAAm6F2Dps2agcg/Lscd0
isRlEcYQ4iivYLbTWPS7eYaM6w7uyZsKn6HMQGYq2QhvNhPQVaZMGE/bOYvyXZ2nUANi0YDXjvmi
6FrBzwlJOTiwYyXsmQNF5sZPhbw2peqqtetQsaVEg49UecXv8nqGPfVtDet/AoGyov4yFA3sSlUW
+kQETvedhghrxWH4enYqMYeorxxubw229lhnYFWg+92uSylYtSCDWlWQyGEfZqCguinSmygP/tyH
TNz1ykG8oqqu16RYIrHKOER83w8wkydPZN7g4XguAAI4Bo6+xn0F4MOyLhvOtU/JvFf2YCDTMYAm
YtNuV/dY3xRu8Tp2UI4O60U4IEVEjcCByJzVVwEZfkeNwdckUlADaANlCPMKX8+0h02mJOApBpzX
VRwK3d6KrIVA7/Dsz59WCJkIOPIgAIF62xfbp4J3maP2dsEUQjSDErUA6EbxDCXt9djBl1ZqMIs7
sLRFzWCnJ8b4lDbDgsCj2iqie6pyWPvCW33SEBXFZiT1qh9HqGQOu9a3k9crM+NqWfWH6eQCVlEW
KbtrRwfx2uSZPqnKBsJqCTRdSbrQzThUWMV8yACOihKCizAF6JgPPadxDi4/goOn/jIvUkHX8yS7
XSh4Va+5Hit+6fu56ZNmZuWSRD3id8wfkAXu1jeNR1C2ViPbl52N7FprNVdH9STg6WrMSXeFEZnB
RdISNno5JJfCPGGfJyba2gwDyAMVyQ4lOXNQr+Q1+MTTBjxj0aFwnwwBXDgAa59JyDhPvptmHtKa
d22/87IIn3tIQxdP/snImG4NCAHbqelYeSpHBS6i0NjvGC+nozwLvfrqEPVcqy+tnMopqfup30Wm
0esqtPwuE6ClPHmF8CUERUlSfCZYA4HcNfjM8IPaUA5RYRPRNLiJHW8AicJSRonsCIgQPTfFEheH
BUVzDd5X9LxKejbDtQBEqF9B7YnPMIMlgMvha54LO69wlUFkybSDDAN9V7qxLTjNaCygPS3wey7J
cgGVOjg1ijAZEzcDaD8hICtdWa9sKmGzXRod0rczsEtUzhA2hwTUxCGjYU7ayQEo2Kyf0k0XKQ1w
NR5ma0YHYUa7AONmbfCXdWC9iFso1W60D0D8eAbrHsOkwLsJc9HKsN7juAcutFxNWBV+58apyd/j
wSC7bwBGz3o0wSy4cjACnGkDb0c4Xfprx0cgIVlU6hs0t8W2af1hvVLP52wk8mpUvn4PWvN9HqVR
Umoz7HjVoVj2gOxzmZkvGR1sLEmXxlRASZ1MlkIAe0iPpmghI4ViXhIHkqcGhhLETWkC7HPRgkEt
nxe/jUZDN6hRYYqzzro4n3y9L9rWnFI2YJxA1qz3UNn7XYPbJiRV2zanqaX2i/YV8AVBPIAhkMw0
7gfi1Nr7waGj7gD+RybNQIjUeQ6camQWKpiqqfaRJaDCaAmm66p0jq4yQ8A8fd3C353GsEmUL/4c
FMA5VnTud7Q/gH83AcepD5Suy5W/LDMHDM93UTJ2M8TMoVAuK0DZmWoIVZ13TRqjHqaXLhLEJmKB
H7B0hpn6p2SS5oDbCy9s+WiBY0J20a1em0MOx5FJb1KVggc9FYYZypr2qKpMC5DnANOs8DI9Bj2t
38nc6pNCZ2w/txqfZZ7rGxy54YEsQa0ELdkeajCwayMI5M/eQHIb6wzQahEFuZ5g5OQJN7UpARw1
JMx16BqIierAN9tUq5O6V0W9SluQr2bP2tuy8nNsHeBe30EIuQqcp0ij8iiyfCOyAzIvi4UMBLVd
viM8Lx7ZJNBwzNsRIs5FiMS87PRJ9MwwOtBIIsjMddkotpdyQXIPBZt3uwHqm1iNY7+1bhg3FSNE
Qa3i+B0qF3ytFAbJjmtAJdB5YEukiSBtpCmBSqIWkFjEFMR1Dor1aukk3bfcQzws2QEOnigzR/UX
kREfg0pWo01W1lKtRXBkAyPn13k/+g8+F8tJzkLxoR2zcjVAhAA6Q7WzbCAhjjKWokYkCayNzvtI
WJ8AnW7UmvbU70jGo/uxpfzB6HF5rIBVfrGVH4Buz1UWA68ix7gd0AkGUratQFz5xGC6/WpM0yqP
u64x3bqzvjvi1BdnhWzVKjOi+Fi3LrsSwPF9MtZVWJUDR9ugeDjTtE0/5JEs720X4E28QcUATLnR
2fnSRFCxViibcSId6k3c60nAiQGQyL/2VM6f5ejn3sC9bUNfZPnXc7S/fvzPta3hv6dnfvvycAz3
t0+n387v/uld20d7OAoxvL7pMJtf3wWT+Tq7Q1flxYc/tHi+9TheNXGejwP/l4s/2OGB8hx0o1+7
CX/o8Fw/+rvhRXPn+YmvzR1N4cyvJhQ6G0JKCQLXb80dJN5Ba4dI0J6IVnDg6u2brx0eKt4xLeAS
gf4OYkSD7P21w0M4nEaFJhHoZNAXVBqJ/0mHB7Mnof+37gPH0GphBE63koMPUhjrpQqGXBRNnbVo
P0OO/ThFTMZDFe6VJ9XZgqNunUd4gBaELS/lrE6HoZ0+icl0V62NrjrUD0djEODVSi6nzI7RPqRU
pNvJmvwcqrzobpTSgqBiUbdjKpV5zDkBttlIHugFY0VJ6jgCRi73C+4VOdNsQfbDUHVkNHFULpZu
29K17alqe9DdEzRBmvGArZOrGQBDadhmWaA3BBwXEnf3oVKN4z6WTV3ho1x7AZINSbVbyxyxYZMD
5LRHDgSOisSmKeFccOxJALmlAK6Oj6QN5IaFbOjKeLHY8sSx1KutIjLw/Qj5C6VxGQpprlOQI8Yp
xrKculVuub0zTaoeDnApVwsZ/NCt+9yiSQDCyQJd+aU37crBFIZt6S05BtF9GZJR6Pw4NXiZktlJ
PmygIDPTerEGAF9Zs6szUFk8HFuvY2iiuJ2JvFrP0Bm4DRNnkNOyfFcMxVVWVcBC/GhOO9LYnSHz
jbEF3Ro3mxjXOtuVcwY9ia7O8o+FL0BdClOxl8qfWtYf5/M4fhyyuknGajintc9B55h0G0+ZuHc+
neN+nG8Xw4eEdDopPd0DaYQqyAEN0tgcKcU+Ax/p1zQtx6tFjUPcLFG9HWFLI9rYmMt23g4ylxtF
mi20mi6npbgRFQEELdzxMtg51mV2tuSdTOrR3dp6APprm10JpdtKFnTllxq6caEVx22L8AZK5vM8
qy3wyfKmBd1hNfZAnMt6egQCI06hqZWez9oK6OD5KNbjmMYDMPkSZLYtmxiO/TK9J4aK1TQB8kKp
CYXtPOUnUDj3p8rNZC05Q3tpi2LT+IXHY5TlyTJ06nMxkmlbT7z4rPLOH/k+hHXb8egSqB6LG5M9
pjS173nkrrgr/FVTh2qL2rqIm6ItdqCsiXgskIipDTyKGz5unOKgDguWb/qe6E0GFXXC80hvJzED
rSjrvcudXaWAHXGZjUWTpL74bCmzycSbep1lPbBUVA8ra2kdD40LCYdaMOZoqtY4GopYEX+NIYXE
oCTcRFW6X5Zmjuuh7WLuoo88pCimpTdHecd1ErWs+EJH3v8yLjIx2MWmhNoFFKBOMCCuqDypp3I8
FsJBxI+96laULdEX60RD4wkSOo8ttCWyVW+mJSSh9tGOlGi8hKpwllcVlNPnApG6ibu0L85aRcSG
2kKtU5nKIcHVaK4HUbvEIbxkW8jy5KgZsx5qA+pgNHCsconT2d2PUBoDbZimczOXOJkmcItMTxWO
lffhoWsBVNeZZOFodEWzA20hzHrrwLV8Auof8kkHsy1jO8zuC+66GVStOW03wo9j/iUYUF5jaJB0
S8xQ185nRPHhduDgLSTOWb5s8FSj47zR9XYuQGjNu4hsEbGwsnLey2DEFsgdoISfSWJRFq05ncaY
tgtIb21H16leqm2XpQVUU8snDycMb2TR+rPKRHcQUh/JUqC4Af1nXXfuyEUdOzOIlCsgLea4iYqH
dFD9qiBtcQPdKVDaRcuLU9KHCcf1uNDVgmt83tXph64ipQKKRPVJyyp7hLXbQMNtOgGtpL1kVEdX
JRvkHal5scpK3SVLrYFbjFkOYTx7QtapbfwmVAGdijTYtUvdsMqcc2fVkNs1vKfZ2AiFbX+I2pKl
cI5gmegmhV7YOuqqfCur6bzKWbEuwrCbMcpJnLrlkEsWUHpT0VzMNNw2o+U7NtX6vifDhfQsn+Oh
pNOOKvdJBFPHBciNa0KnPYO6fFWOmFKQZ1r3JbWMrU3kouMw8nyjphGvGgQSW2t9AYWbyjbQcQI8
UOGsmFX5fonQdAoShYmbMMpV0XgS+8FAaEFxsXaMZNtcMx+jGUirNgZaFbjfhijrAYPdqR4BtRYK
upOGA24Jcr7Zu5LxWMw9jzM8X45qIXGpbLm2rC5jWJvedR6qptDpPVR1aWKxh3pM6Po+tBYaMBF1
yYijaNUOZbcyta3SWEOf/VoXRq+oKsOqY5VeDa7b6wj6MX3UfvGd/FAX0q4XPY8bNLRFAn0rkBsY
s+u88flmHGt/BPLdw1Qup5VLx2PsqypeZt4lFZHNeziAgk6IB8M2KJjNXDi0X6APv4ugrR13bVPG
U9PAcYWsrOJIwZpH6O3EpC4B7zrxy7KgEDdK4nVeul8IiOZQK4BkjENzaB3PIW6hS3oCPjBsh4Ll
yVyWX0ZR6Y1vl1+yFt5aLhqwzASeQoGIUxJPBqC/1NnnusVzgirXn6cgIyT5hIezmakJkjtpY4Gy
W4v5l1Z3j8wV1abiQBgmzz7W/QgdmHLobioFr1p61sft6N2XfmQkMYMpVwxANJbDnJ9bXpkLDVXe
HimynEylg22Q5S9jnaIVgKkF1C6mjwpU8YQ5elUUokmmDNQf4xXguiiqz6RxJKkJKK0jq8UGhMaQ
NDpqNoNZ6hMCLYi1CwtLJho+D3ka4okIGc9QucRzXpZrpDt1MyCynJdQmMOGLqCZx7kcfQMb1sL0
J1eaWwj70p26uVHXneTwLEXhqh/TvYC6LokqDQ0DaE2cc5eaW2nEFZxGmhNbZWeM2GFHR5WBNp2b
ds0HKLVAi8rZB83LGVosoo8DlOFsSQWBHpbMwNLTHKD6qkNciEnjJLPkgTe+4asAdo5Ji+170NXd
Di1e7qTn6pe5HNDtiPy9aVP3fkE0MusJWpE70zr6ntdiWuPF+AaQtXVTzHNoXZJJ53HKOXgEqi87
pfnlHNCAEkDNCCgGaUnC2VB9GXqqoNU1mAxsCieMLPTBerFtW8whZBrh7K4f9DImI4E0D4LNVQvy
8KFaOoH/XcV8GoRGn5usO6rmHPqaxuZZ0mX0oRIDv2qgqL7HUOCD3saELuOoGP2+nW3fQWM8N+PK
8+DvUaWqVWvH4WqZ+26fAnieTnlUbXUjzhfRHKdWOrmaIB34HY4WA+4sJvmQZrJOcjLI99rx4iNv
e3aKx4Kv+nqu1rygbdLadqlWfSfrtXXUXvaU9aDow1ac+ZKoPEap5bF0UMuuFtCAQfD2Q3jfqKLa
Zrg3m1TObgMHgci6hXlt4UBVtDXcpDUcW6mKj4Bm5UdIceOnavboqjQu3SEjiz3iMzDetBNHXTNF
Ji6iIS3jIObqJiMg/xxPUahjveT9kY4IBESO5nLdFpU+Il0/gfbocRl71rQrMWVovaChvwAl2X1E
ahkfeDtPOzVYfWyNce9ZlvcfLOV9CfFnoT1NO7Eq60PjCdjVcqN7V1sD5cMwX2cYEDaBOmnUq0W3
VMSsasO0LgzEw7FWDCRwlVbiw5yqRXzKyqhYVtCbhMyqRqYhEHvv4tALOJbBSibOQFbJbyc5iwjI
ynhVLQ2cXhqg6XJaNb64TWvebPpU1QwEI1/tx7FBK6NMpmLGykjFAwifH1Hq04sJbt35GuC1r/XV
XAM3Hppu/NzUjV1FuTQb4ZbsuG+AklbN1LnY1VN9jfM5jymSZDurujwxILZsQu1A6M+6KmmjpRpi
3rd8M+NmvqgY70EGWNI6NlNRrieDx5O6WcaYEdOAeOmzc9LS9P+wd2bLjSNJ1n6VeQGUISIQWG6x
kBRF7cpUKm9gqlwQWGPDEoinn8Nauqva/p75577roqwqZZJAEgh3P+c7nvtzmnRGPrhGOF5mjQt1
3BdX4BTNwqhEtts0XxZKlf2OdrNNlybvE71FL3Ju4h6S6LLLNDH21GVizPKt21d/O7gIZpTtSDV4
BYeUWYFz1KWDQ+sUs9MsYv5GoTAtpd8alZxMj2fxV+CGdRlCCWsu7bq2OsctbLqKps1WxsA/4MUG
EFZzMRt5WedAnRabkWenZ8wCRAdHz2NRrvMenPVm1I3BPVlCpm8vquNtUUO4+TkaGX0Lpz7yuWnN
3MFLUK+2z+r2nZBoKcYo2+5mPI95ar3nZWzT9IdMVXOKlxEtOJkBLenWJJ99t4VVG+N0rjI79AdL
rf8A4wT/BHJ2PmA+lokKjwAHl7Onen5SqlVfhIvG520j/OxVuxV0jFTJBWEqJ2KENtvbOZdhje5A
9/bo+pUUxnQSVr4eS4Zr/GTRRVazcxmMetJVDWodmnO9wxg0c7UMyU2gprWUGNyf56bNDgZg0QeP
XHSCyanyusfJNEiV5kkrxbFt2FoaCaCPtWOMj9eK7dchC9bjQKMHBkjieziZByj2EJ1nqF6K0v2k
yaDRSi3NpcdI63KSRVuF+0YfFBiZSu895hvclCEop1ZUWz2KKhtQxmsX9F8tevpcZsl4CtqalcGG
SjJt8ZTmKfLbRRAGexF1V2m6jsYc0m3wMDO/P6tNnBbXD3euX6aCNxMz6MCDAQ6CED+UiqO7um5b
HLS6gR8c4Nm1OPgX1RU7XLfCG/gkpp9XFJ1tfxJzmN2vrumrbmrjUx+3vKJDiAPTSnluQ/KYpuOa
W2udLBbVfNhk6spJ7jMoCKLT+z7QoDTGsK/IUIPjGDL23sCqz9lm4U2MrRjfA2XfNUt6KN3pMYIa
GeZSrd9DuOGntA39zT6aAe/fsrT5yucld1MzwI9lUB+SJi5jP3zwjIlqxaeV08l9USmGiCYtd6+/
T93wxXbr9X5bQlkt89TLHKJ+FaeQXIc2q89dC3e6t64GdwAoAj0zCYtggrVcGUjiSxM5fZFxN+Fu
scmRhH1SUBO1FyiX/SP0hzAsl8gtabWqcL23M/pt+MG01Ff5x6VW3WQaDqffVn9qujT8sU0Y0bq5
W09jNC/lFmj61M0JFAFlvs3CzedkBEwUAjs5Q9cqhdjVTapijQIMTZkm4/rke9Ecmlb/inkNrdg+
tXsZ+W68mRa19kWz2v1tnWubQ++5Y7ADPqOVem0DrYvEzMmtiNlWaOfROEpxU28eQINYAlNO6/I1
I/puIwCVREc/TwGOvG6NooOKgfJsnKVvwpERvICZyixM1wIGF3/1suc59z29Bel3gbj6PqvEnnYr
XkxMfoKORP+3ozuaGjW9CEnfmSADCMAp+m453KewMawECfXZJSn7qdQY+EMzpfEMixyuSeDUInIf
j8/pPocQipuOlLNK669rCKs9d+tqIFDs27MmxMt8SOsastO8bQduoVWj+R8JZhzHj/3CsmeQ3XzO
oUPLGC+vTiCrGzEHeBLGKg57c6YTWknfNg6jTl3io1LJXd9x9bCCiGhy0gcyp75vSR5TP0zVmg7E
Vkso1D0lcXqD/8CXoOD/pA19jjqJwyNtxTlTYX/eOYorYdu3uleLPvZB31QOIECeJHDc+eDOvk16
POrks0FJKgYyqxweFLRANYGQzK4qO4nX6zOBLq8l/Eg5OuHGUhwJsTPrdurkckpW/bVJ/dnhhi+G
VoU3fRPc1ZlFrzNwXXU6OSuyzoeN9UmV9PFwVhzyn85CW0xo9Qt0prSoI30xzfoEy+t7OLa44+ud
V5mbnnSkphLCTHIzRT3Nk2AWR8wuEBD9GDzAkntrSWRvYf+pcjNxWzQDm44iVE3VypGcXIfhzPDF
3kxzE0K5mGUe9vy72ursaQlCyHD11hZC7l/7hkA5m3d2SHrT5t3MfgUsTV62lPdl7PbNFN0itx/c
JusLzj6aIzRgiiTUy9loiFEh6QpSB9EdmLQAOkvb0sqEfX/K4ukOdq+FT8GipaTtli1V0pAxybtQ
9GeN+kgyLw99u6sPC7bgHdkGNpZ94P23noraFWTvgw8Zj+YhCYfg1KHgGTidiTulfWcuSY8RCaZ7
B5K7bc4miJqKgWz6FX0WHq1GjR9tR9IHubH6zs9i+Ra08c/GkF3lmQjsWUOGfvIuqoGFJdtUqDbc
PqWOL4+UisjfG5dKlW/JKI9QQUcBr5Wp0vssPhDZkqSM+9aVirZwz1u/q0OrqMC8UAf3pDV8LTiK
wamt19e94Z/QIfAXXTfy0Ghgj3gO9io2lmC4Sj9vVw4MKDN9acJBFVawh5TY+mN0oGy6sU4LJHRp
Ww4Y0oPbjaKpuQwTpFU9r+IWPcTsDk1sZAHzLV7O0YTzJ4/nUHXHpt7cVSSC07NBC0NPM8YknzDc
oL3bpOJFEkvz2ahIgxtO0zUXcJ9C8KbQ+HbV1cWOc+EdnlPG7reWh68rfkBcpnrxb0s/A6NSSQ3R
CAK1yJtpt3dsUcslwd2D2IDa5uOmp/bilVKmRMECtmGWBh3Tvs1g3uZxRpm/dkI4Zd7HPk6+Rkak
eLSXbj6pVMhcB06jaU2jdMqbYFiLKGXuhS9qhvgU9irOMYal+CSA3A/UNt85mKimnBogBCU0tf15
h4fVFwwPWuW121s09Bi8HUWJRgs6qnJl6ueG9rqCRfC0B2jrYb+HZ9XHcwlLcTs2ba2fXLPSt65D
B17yCAe2N5w8Wi0JGBu9ps+WG9RTnGXycfDB+hZE7XJmQkOXGX2W3pk9mN96dcWnxm0/UoW4C4ZX
y54sT5PnLKgxvhhSZ7dBIIAsDm1/nm26vsA+hhgKJBlPqZxwrIILTSeKnlGIsuW2w0O5RahYywZV
MGcma7p7KPwz6klm2HDbEbrzwxxvHJ/02FX1bJqudL199I2NujzeFa0YZKjX0CfNuYtwVE6D2H8O
sPffa2LRqIGzgT0NgeleZFnbgC9r9dsSc3nYAlTdRkYoZrilSgw7bRU2tjuqYANGAGn01tQuuVm3
cK6UjfuLIlitgs6ehBfp5fZp7qbZ4ZSFCSyCLSpiE9U4TubgSfVa3fN9SwFBkaayq1fHzYZRwVSP
uyQw23yXDiP7AvU2QBHb1GuI/u5iQCEclhndP+TMBCpNIJ530a1FmjUrRHvZFY2y490yZ9+ClZAK
h1N9igWfy2D35C5b8Wiwjoqq1WDeAKo+Ti52N9vO13McJH7L43oooxlTx4KOsYDebM5WZMtdYJL+
ksbZrxOSOtVa7+GhS/ePZh9FQa+sbJ12kBVJPUIrM/vnoGX1Afy1qBSw1CrAjX4Uq7IFOD5601sJ
zUb2004htPlSMEfKmIQJgBSJXjb05r0dor3AqOBPu3GxRyGzy2OaSOjAJBuGcuJ0HZ4dbPJyFyg2
HQcKCT1r7S8BKOeNw76BxkrQaUhxIH0K5Fj6e957/HlYP1nm9odtnqADr/3nzNIvrMFhzYOpaiPm
SyglH9kEjiQDPFJum2hKGwxhOSWBPFDSR6ctGo9R0z37VGFUiDgvsiUELNL4ByZalg+dflNWd49x
s5zqgJ7QWM3H1Ufr18DBBqEs+AJwPjyEHh0yoAjEfVYUapcuHyMAr6dt0U+LpMOehzJFaQfMYUox
BA/IkO5FHVJxo6eQAoYPvkdBstxJOpnc4PzPW9hgEHqy6Mu88SVvRndZlXI3ZtBv/7Gt/7KN6m/J
zL+a0Gl6DQX+e9f6n+HOf4YZf/+eP3xrLDEI8QGwMI3QhCXg3f/hW+NLCQY9jgfqGg2ksMf/tK0z
eNP4gyRjEU9CZBD/YVsj7Q0WHTkLNCw0xeYE9n+yrTMEkv+S3eDIPiLgT2CCg7K8muD/kt3ou1XA
LgUXuce7+DJ381ViUmzDdOVHWbjEjPNB6f1xkNRvxSBWsNQYUKY6VBB/2gkFh3nypW4XNBoTjLii
zcLth5vjoEzxw4u0Zn0OcuxxSoMAvufwNQoAYzPYI4epyUCcsbCpjMtiAOlR0p4gEfEXGK3TxbnZ
w7LhM2gjPHSnRNs6KupuNGecI325yNrlQYIOYRYY1VkWm1unYa7EI2CrwPHuuOHiKOpKrG4S39Y3
MjDzM2iP6Gxs+7VLdPClRVzwtdETpC/tpuOS0aZCF8ZyhYntwTuQoqOzT2uK+hz0eJEY0aFB0KeI
7v0hy3pRgkAFEtlM8zFs+p/KsHbLwwzuIkySueKq9QfoGuqgPX67WOlTzGBOtAmkZqkZunn61JL0
tV6XOxTRKRduetm0Jxe3KWRJ+mmFj7Vd/zVe5D5ekPv4Uo84XT2Z3bnfm68IaIDelWs+MPbU7/1X
zVcQxVK+oK32wJIgsymGotunajks4b4WLSxP3IKvjtVwCDu4oHV8vQSdxxw/OtOOHROowA+sD4LD
vPbypbHZ8FnuS/SZOPTubELPB5eNHWICaWOaZw3lcvxpvXrE8iJ/qqMAgMCuP2REzKvKIEiDzgRM
xtRQbSlVj8PGT1AWoWfwWT/sqzBfoj59jW0rj9IBYSV2by5xjZEErBg5ZTpOKzOknyCYBTqP2Pap
iermHI3SJkXS2PGJZjVa5hAzKXDHkD3NdGD3Y6sFKTcqkH2QEEGrQUwvLCBACs1kREkle7bDnB1s
Wk8lYyJG/BL9Zteu7fU0Xot1dDo7Go3yfQMpiYAX3GXeEZ7mc7rGEqOeW26bBi3FYTMB/5REW3sL
syL8ijZ3Le0+txA6OnTDHO+lPJDU1JgL3B5CCNN8vpFdiLmZd/P+M5hgNR9TI2X9c8+S7W6ghl27
1KivBtiAJgeMWaAhIi//Oej/fw56wEYEZ9+/P+lfrsHw/yo+DPiJ6eOvNeKPb/3zwE+RHEcTE8cx
4nC/nep/hNBT9gsi0Ti5GdJkv3/lz/Oe/0JDLJJCxoXFEc59EEx/YEqMon6kIfZM4W7j9Mo9/clh
/Q02Q/L+j///WxA9u8aR/0IpISzGQx5G1xRqzAj716ze0tJ+wqwlT25NyFZloof6A/sxOwokSQ7x
RDHRTBCnnrKWIXaDIbG932Iny3UQaVoathDEOlr2FluxP8qYTi+rjeuvWUTco/JsU6dk8/yEQxA8
Z4b36BZBFFkm/QT6b3M9skFz4NDsC4b6d0kRZLjviUSuCFo8Oy9eD6D60KdDeN53sHj9EgtX+rWb
ftrxyson2R4d+sBGD0jAuMdeoCgE0sHKCnXAzqber85jzCFBBkygf4KLA/QGKbc7ZDdqVcy0ZjcL
YiTnDZGEm8y14VQ5TELv4YiLKuHrzz/wWwDbm2iCL1cvCEXkqdKtwA8e9iq7Zg5cPcWmwKQFF7oN
cJC1iKYnFfM4Alt84CeOGMljPHHQQQTF57uPudZ5Tzb7pnyQ4Ofiyt4ixe3btIX9c9aHYGJdKx62
pZ5elU3lw2zNuqOquYaXQI+hudYiSW0+AMqqi5BoGSL0pdInqL17hTgY3siO1PAzQtaiPEadS558
69VX0qTpI3K+G3RPb0JS1lkSYc4aNnlI0hGuiE9ukLNQDz3R2SPHRgZx6aKMn8BfqcOKIMxliFt9
9EJsF8Ts6MGJFUB3yyf5QiDzPgWg0O8RV0Z0AbjlaSQNtN3akNdaArZFMoydgwGhTbck8gHq+hq8
+GiEnpB05BzZDULk0C8RJkPK7QnA04zXTNiBTdA3Nz/qd4NW+U2Fe4Skl9c8hraNXBEJRlQF8Dwx
FIM9e3KqETBFouyFgtB8cszDnsoc9hEUfGVfae2shYIecAqGLNg+Ut+nBcKRYDgUS5oDYByUFAex
+4Qw5exhU+10B8i7BMiuBMh9btBeKxa6dBKgoLJuvhG854iPbWp5Tggs3wvmnexRpQFhOTFx/Gki
e3QnbBBuTcGGKAjzFCkVz5FTM54dGxSCrEbiu9uQfAPXgZzVDgY6fdcr6nowZ5suhIpZjc8nQDMA
tnvRVy8hTQ9QhzzF/CFNAJwlVkt4M2gEK9/gR2XzmeMfA0iChl+SugmQrDTQz/r6Djz+etuus30T
erxHYLe5DMvYZt86HnQYwigbJWo4koPJVCaQ/D9xFrYHqEbQ/v3sq9qgBwrRO+YzC4cb7ZsNGRfU
uCAT8s52QldWzc8IPWDeHxRYq6SjCH30uIc+x3HdxCc83sHr1LD6KI3xBpEzNqoCsKcqUS011CrX
HIL5N31kwjWc9hALNPJ1oUu5w965DWA938glhGueTc/SIxve2fqmA8xQZKl05w3Rjipx7VBFswAW
I91xC6LgO/c4aYbaFLr2R8RsuuPeUpLvak7u7e5eZg9xNGm2Yzp3/DMxZs87uLv5NW78AIHgGYAM
3Gfj8bHZTJRNpJt8HWr4rCoGEjPZwnZ8ug2heP3o9uQ+9LR+16bfTlj8McARX9OHbpUWLgZ8tmiw
6yNZ0E4hsjLkWyv2YxT7+1an+3GIwrkQwg6HnfRg7QJ8F0GjV7TGSIW2zr8jXsEhWicPXhkwDH0N
Bwr9es+kOep6MocOCxfujKm3h9gOaQ6q+tcMp+1xQvNZtfVeH7A4pUNvDy5REqpPXsq2GNY1OHdj
S27BKCF+lDRfJfJTZUNEW/TJPpU0W6Cyz9K8bZ3eTiEizJ+6xcy4Mbbg2Bj3czExkmyi26vZbOR1
JbT+ynoejLmrr6nKLhrBqKY0vFmQNOlPbIz47aQxIkAGQqxDNdc1GQtyqWkdDIULguRpget6bBGW
hJ6PSOnMoxF3ReyT+93qacoB5LRdlep2fs6srj9nmuOR5WNdofaKe+ha+tdJXvUE79r+i0qG8UCW
1UBDp+kBOeXsKD1iotCfwzcANEE1rzDT5Db5+ymlSPBBGj2NbEyfAJ9NdzZ2wYNNm88JkpghVGK9
HBrrY2R8a+Lyxc09OXPXNZesH9MMzdwVEZrbJSl6CgIGWV5469EGGoTPVwqREnbP6hpWxyicyWFW
tsdEwspIVIJAgWnAMqhmgcy4BJ9nFdo33HGTLttlU7chM89x3cknRK3De9b1U5nOeKexF6GLo+0Q
OmoLR0R0otQgxWij4MZgDPjBbDT+WEYzlrFgCInAO9o46mC8n6cEFbvo0KyWMW/JJymW9Vlkffod
agaGJjA2F13Tr0G2/MR00XyJaYwBbZ/Cwkb8E3KHASxj20MUgU2zEpxzftf1p8ZER8e6r3W8fEup
5kcvI0SZa2C8rN2/7OuelTMG0DJJzIceBxBTDPaFcH1lCFU/mhrMct8FssTI3J1WukyyoH6PELGr
yeNgY1P1duufJhLfI3IzXUZvlgoDFNAq2qztXGzCbKqyZPT3zT7XyFja70snXneogilEO2APDJI3
W4dTgnUUJYcwo/Pserj2/OqYMZ2CbzaAhlHlgIbV7Qft+9eAxrJkmw6/CorZFjRm8sMQ87ys5Gc9
ajhNrS6yIHkHuB2WmAIQ2uvD5Jzttb+o8GoDMf0uG68OPlvOG/JwODuVqpAg68u0Wdmpc/sI80zd
8B1OZheTT+2295cB9zzo2JgcCJidI+1mUaiwO5p1UGc5u5fIC3sgHrsYhpUXi+j89xn9ZzGzRb7A
qsaEaD3e63pkezns01rxGDmkfbLjwS0Sgm+Qfqsb+oVgBHwPNWcPWKcwFGPKnzSZcV/xbyOF09b6
xVZKtOoWdjvyLJr+SMatQF/wHbiVFuWCSyrIZLdTquout5GKIF6KDtBrLI7oWJJnEuwN5rCtOwC0
dw9w5OpHU0u4J7KUgzm2IrwXuwXimyjcoiRtIBg6ijBiR+6Z6j45yO3PtRPLUcEMWPIEXPfzIhYJ
Wi3IkzXGq2uwUQEl/RJoG5c29p/nrj1em01NpgdQRw145uyWKvkTefmTpuOQiyB8qDf7gEUfiKvC
kjcWTpEav5oBc7y37nWDoqnI/DAH0x26NewDiQHvghR0II+WHj3gct1zgsecp5BXSs5ajiAUVntc
pg5Z2XjUUyEAj9E94RYg/+gfqZn63/dd/CeY8r+sHsPGKPY/Dn4PopV/Hff++IY/xr00xCpmqGjY
v4FVwNlvO8T+nPeiX1KwYATjHPtd4vuHwBeRXzCIYREgIyCEYnzbPwe+9Bc8JZDjkDCJ8e3YE/R/
GPjI33ezYAcadoGllPMEC1EIRdrl76kUhPiaVUycYwYKVV3SzvfPYlD1mUcRTtcdowe2tPiDMtCo
ENytzwBLsEABjP8nPqXqPYo7+xayyb7BcKLVX0bo/8c8+vcVK79dHcUqD3TzGG1jbCv7+9VlCyQQ
smURerVIfnCBtQPYODJdJu5Q9HU77Ed45GthFeaH/H/+3Yz+q/aZYnFzSiLM4iH2VUTsenV/WctW
CzqoeGnBGDb1lxHB8GLZlja76zMjgZMonlxomE4x3qY4uXVR1n4inWm/Oj/578li9VoqhJnPzdDY
qkdlPc6DWVCTtIyfsCdF7QUGHQ6mYpwvRDF1iEIVwXxDcqJzI+ZKLLgZHwTdQ1Uk2ICFphdNe76R
JCmXxaMRSBcBlYvNKKNrF9P3BktEgIbBAsXWAqxzsJGvoFgszwKV/yD3CEphMANmhlmbZaLIaiiw
rI3Ct8CYoAJH8rpg+ANn6zWCr0mspnsTYTgKMAZh2pXAwfdgrAGQeZZ3fl5QopNt1XlTx6gfYgL2
C5j5C46mkV+7XnLhW1eXsdnnN8THEwuKfNjCPCTCrYiLpvEpZf1+2MQQH11GW7DTdAONElP9nC1B
94R9IC0pu0aH74NEGlFOSWjKVLis2hZm2sPKXApCFo/Ss6tTUBi11jEQ60jMr2SRAjG3ZFtuoG8P
ME9BCj+7dklFAajC1iBrYb6MpK9TKLdzD36Mx4qAeGo8u52cQZS1aVq6oaxmII4NnJtSYRHJia+U
BhAlcPRunH9JkCGqBI+nRygo7mAbxLwwqyAEFKFphsEbOnJA3AjrXODGPO4DBWcHJO+7FnQ99Jia
oALieMdweBNjenz2dF/B18ulO3sQkCUU0AQ7H2Z18mPoAYGpGXF3I/1hpjPUEAxOe1zoNXJzserJ
XqcSclsHqTtj6Uz9GZ7fcko3sal8SLj4EW3hir0/xHHs9ErGH1h0COSJegjOoBggkWSk0aD3V4+0
fQzOtyvx7L2IJujYPRYzLVzlQFvj7YWYsXUqx2o2uRYI4uim6CB+IA2i5h5klahbiKCmO9JQbt/7
fh0Jum8xrkjQT2oN76zOTPuxtkhVnbJpjeiDtaY+eyQpboaQdUjCAYXILjun8sOD1F+KOlsczGHQ
ivM3rNjr0OtmsxYF1BYEHebFTEGFXni/W3eC9LMNkxl+5ooVci87QkD7aV8RfCuCeoIMJSeD9Spg
1hsFMXYDRtZDYZ3ACHEwEM3WhyevG4FSgN7QiA0JKSjH8gN5VkSOsdEXt7pDZnzvbf+MjWrXw1Dg
9WPCmB46vyT3dIE8UiC0+1vcGq9tFzV/MbWHyKbBgqNDXCP7NrcYdQBUrrh61yT+hFnUn1qYv+/Y
OSLft5VmNs/4CrNRbHiQKxsuSFsB+F5+DTuzhHdIKfPwPqu3684W9CIfxg4ZBy41+MNvR3mGVy5A
BS60mrsU52gfzOu9a6n/PFh2XQvQwxW5MpM1rbGvAZWA7B8ciaNQndMVIRB17pssi3Af7aSByS4J
kLUvU+OGFg1IwKePZZ+RvdqNt7fSYMTRluCKoVPI4LAtM5g1mDzqqFM6POwTouvYw4SZMbcQ7J6W
tqEPkZR4sNo6HR6wfECPEB1jyUvE3dcbh16LglebxXgZYUp3OBI9ZCs6quhmgp213kfauKv1xOul
nKxJvgbrhCgE3pw+K4YGwGcp03gHDiL21ORIwW2IMgTyXsR7hu1EcSfzGo39TUMdrfoNo7Al8yfm
tvgGe0I6fiQQXJ6Qo2BDGSB0sx5TbL6KcuwRgI9LZVYXEchvTIxhfyfYWmu8M/t0QY9qXmm/OCgd
YuHf+DrFaGQZEQcMtlVHZeDBcHF3iYZO3tYCAbkl8RgcZp0ON06nilepM+SWBcN8k1EKCAA3UPDa
o854vOQMfB/GdpkTPSa0iLm9oscSq3eQL0im/TiBXMTpt8ZYMoVzvLlqZNHB1Tjw7cjsf6zh373c
/61xhEOLburfOwb31y2z/1V+9HL+m1+ATuf6jX80kFn8C0yBGPJ/zLBGj5J/GsQkjCD+x7BlKSia
3yLKfzrEv62uReeEL6Pz5Ohf/tFARhxr9bHCE6zT7wbx/2l1LRrGvzkGWNqY4O9ZihlNKAwKbIz8
lx4tylKALy6hFx9y1Mxja68DcilpmI9gpoI5QgxsTIYZ0xrvMNGCq3hHiCEmBW3Jya4quNRQXLA6
IRixGk3LIsHOpTvZTCcBO+Gc6i0pkbyKb+UyIQo9WYW/A6MJbuc2JbmCg/aypsp96tIMEYBFYj0L
UVoC5e404Hm7w+b0BAarbnGirzVSuhpPJ67b5YIjqduKu5jBM8ZGBSyX0fUTGNcHZ+FJ4H3MI5BB
J20V9P047YtkiM8EDE+99FkpGv194WQrlw5Uy7iarjDYVnhXm6aptjks3RpiBUiMXnWwQVVjdc9h
D70/cgklcGro8Vpm3nAid5BB+xakZVQNzjyYHuJE0PQzNnrN7DAkI1Y8IbIC4SvG7x8JtmDtOirn
Kc0Azi7tc9IIiUVuxJ9Uj8TGJvc635RaT83cPZg9CxEp6j3ijKBQF5rBzA4VdIiQs7JpsShuGxf0
kHKw575N7gSB1EzY+IyAK5JTdXLMxuWkog3j/kCvIWRpigjrhEpah8cAPCKys/tnPq87BKHri0CU
vJwX5H+HHfOr4UFcDeny62iRpXNuPKuJtLeYKvaCUVdJnxwC6L8HSK5TufRIh7T4uwXQiMSnrM7O
8y7DIu2ROWt9HXzeWYtQWLhwSHXA79ni3IFGTZYH67jfUCm616RT/saiFEAU2vTBOsIP1AZ7aV0Y
ldM13cXT5ugWZGs1XLcKseqvyqnoVgfpzQ4Tv6Cc6XKxZsvZgDwiA0ibaaXL4b/ZO5NmOY012v6X
N8dBk5AweINXfZ2+l+QJIVkybQJJD7/+rSy5kXV97eu5I2wPZNVRqQrIr9l77dLaF7l+wYLxFs7r
De5vuUnQ+h6sKrP3jr1iuUSlufr5j7nuxTGvmSFP+VRhM8vxVLjRF4y7+Q7ssr/jmngpOw7AiUsi
bJPHqM7rA7SMZeuCt9tCS9mOoQMQtTMmgN4/azd3flzEyuqr7a6xAXxilDXvZzqKfY5b6ORX7FXw
Gocbq+RaQIShGVM34pSuYtgLgEx4+vi1wmnfWx02pkLOlOhVRydVL/rohHyDtReJQ4CW4hB7+Wvr
BsltZafq4IWfUGXYV5QnSH6bwHopkQwab30qdricsidcyoAckRliYGZE3WRR+2JXc7hzZFQ8rTIU
u65bb4kjKw8hHue9G6fBYS0GhFe00ftqdpJN71r2Qxa0695eC7UHephuB79wd2nvUXGgRzg7DCa3
WRKOjJKSc089fs32ZNhZbtq8siXgU0RcsnNFjogtiaadPzFRs30zY/Fz+3WJhb3pLSfgztVU0Wkj
EW+tuDPWonouLG95iNmUXDl9x4STaDPm2RMKj33QhNNu7lWAfb8q9t7SFQfeKtpQCyd2FFg3VY0l
rC6CO0sUn7KR1iivOL1HLQGehqO1kyufZ7N2PhSaEsOXZ//MpDvczVPtXzXjagZ1/bMdZuehGoOr
cJWgWlvfjGw1QAIPd2k0a2ykZbATVPwbOAGEG5VPGbSt2BkeyqHqN3aeOewsrC9KrMuhbNdrFP03
2cTvx4FxnALcpJWoqoNMrBaOVNfslnikFiW3aOOI7KOuE9qfcH3uakBC0KYS1CbS2kzh0G8hJi/w
z5i7tpXmkkqC9nZx5WFQ7scIHcQmzHIPXUTnP8cuTj8lo/2wWChf2KTMQn8ZsUqi/l7iO7/NvaNd
Os4VBV9xyEuQqIVh/eEQQQ0eqfCUevZ9Xbo/BkF3k1N1njt/fgsnxmkyC/ptuXjBebCz6iWKxncs
bQCTNfJLkLI0HGMzwU3KF9cZrqXoW+N9h/ndqo0PvPW2lAF62xaPNNqO2EvDLR3kzy3V9C6LRMzi
c6iPQgzZLvaXfK+nvrxZqOOOYobH5XtxdCrp8Dov/ZG9ZvSyiOVUl5VzvQb5cBjdRR/6sEScGfIn
Vuv6QpOWPXRFcJM7HEKzxR62mOj3CycpD+3g+xtb+c9NAcwbUmPGJqE7J61mST0iJEr6AUcKnptd
qnTwoSzm91M8oOBf5Od6cNHQJCXGY1z3x7maLawRMWJogMn3PUZwOwENooUwb3y6bZBMbXvfbdjD
PtVwlPdTkB1mjUCJB1p5dlLr3RAhMkKr/NlDCM6zcBjO4bhC88uydr/EMSu6ec6uaGCQE1s85abQ
YmDchoodquuxg/H8QyIn78BABfuraJxjIvN305j559UK4c9315iusbZZyc+e1cgraFPxAeUWzXPD
hNqHa7B3hLKvwoYZNh0es1OeqocWbfhuCpfVqz5hIq36V5HhZSm4Zi0dYQ+cYAA325nauZ7eehww
kltRY6mDSsXVp8L72G8jWmLY5oW5yepc+Z3H8BbLMZyfJnDjV2+YKg8h+7KAWkz2fgeeLy82emVU
jLccWuGTJ5QM2g9Aiqu1umq9sUMEl9dhKH3wFGUGH3FTNawv29tLzfjvXPZvy+tLqfkX5TWhR7df
5uynP05nEbVQof5SXFMGE/HAhI8gBxSTqCx/U186NukPvhfYAnBPZAQ5v01nPcmLPAro0GXS9pU1
9Kscx/kB9CSeHc8kLFyiHP7BdNY309dv1DjkYPLH+4BIfMr/yP+euq9zUeLrrPKb1h2y5aNAXwzo
Rche7O0Ud3uE06HFKnrKAL4q61xz8uFjiXxZneops4+B1S2fWy8Z1Nay0X3Dl8NWOleB/KLbEvAC
OQ3tqk84ai4m1KKcFvFsdSlIGVbVX/2qpayYiNhLwsUMphSDRXQPr72Xj2PNnsrbNyjEm+XZq9q4
3wbT2DOp8yZCAZjBWQxZDJqnUldZaOFzDzk+XLy78AZB2frFnN4ELKua8JkNGJJ5wEOhxyTZwUfF
tj+Hw9e9dIzQnX2YQ2u132Va9usAc28MXcVkR1X2deZkxYDvWVNud+1B6mZ58IHWgYlYJpTs9PrW
+mNT2TL79wb8H/tb2/tLYtfdl/Hj5+8628tLfr35HNpXFoakjf4icf795nNZufwifhMo3GyJ/Ymu
GIoW48/fWlkP8TT6ZMBRoXBhwDj/jNH1/cDfZp9i/hiQIUiBXWlu+W8H/mkv5rFqG+9Wxp18W2Cg
nhfPsVoKADT/C6et3s1Njbg40g5TLw02BJsJR2ZYHgciOW5Y+w7ue4a+BZ7lsk2v9Tx6Yus2Glf4
0IrlzRvF+B7YZbvrk2WFYrq48zYawzHZNMird3OQVuMRu4vzNECi+FCN8Xi/thHrQEP3HZgpthKw
FAXOIVOiOMk2ByPcFvBtZLP0xyDiLeK5yjEGJXhXELktYDjFssjggLx1Sk5o8VZoCkVuf8oBUC3M
8Yris5aWvs8SfwRrMan5Po7rLtmwu+Xvrhq1oBtDByHP9dKK9bA6w9wcuwXND7Z0v3GvhjBZHnTq
6+Wc0NbmO6WW2brC1M4cS8SotYCYA8F+dMOmfoxEnjyteTHea4rAJmdAsJtSFSZbhgHjMZ9aeVJR
WeltLuo1OWVzD0Y2HNApWHA7++bWK9xXcGW9XKkQY7vu9Sl2/Gw4qthNPHkM/apIDrLFGkwjTiOD
zACP5XznYTisnG2/jNZZdE49YFFLNIpehA8hEvV9hvSrnN91Dfgw72kEzL1pef5Q0Pq43ua7gvot
iveqzNpo08AiVYcmbDDtDJ7wAuZpVprH97GzWAf46E43bf2u91w+zGGU/U1nWyNiIG0Hsj7Z3eTE
126bljF8mW40Fw5z33XO/fWADpKOG2PbVI5XfT8MjX3nLAo/Iw6PrgPQpigc3alz3iesq9z1AyKm
pWo/95PuFdUtT+syfvy34vhfJcCM0f57xfF8kQD/50DPCIB54e8DPYprB1/HJYQqMEEvv8ZQmYEe
1xiujkjAFfum5jBTOza+oJY9oBqe5Mn7S8nB85EEKWg15Jk7F03xP1kIX5bbf6w5kNy6tu04PMVc
xo4gEb99COLmrfo41tY1Y//xkdpE7Vc6z7Mq12Ivm4GsiXV0n7wyYORds190kN+cQyfkki7q6WVB
wXvtdZzMju5Dpms2pnomX9W2qnHVyqBK90WfQG7zTmB/x00szL5RVG/TUDxMkHm5pJNwa2GW3ThB
DhK0E9EmUuCMwB3g5wbD5D73Fa7MpnENBypRd2Iau5fKg2PTUR3tlqEtP9vWsFlC7zWv85+9Bu8B
ds7HJVqQG9aBf9STL6qNlw/qKWNHc8UkSV8vMh17bFiqOI7eihUcT+TNMgXyrJJZ7XNWnleijaMD
TFV0JEW9Av/m47wD9QIKdRJLDBQGlexGzhpF/mJXy2m1W3vPahfBna/9G7sNT2XpPjW2ARz0kXOr
Chxq8ax2+cyOMQl7Vg5psWy0DuNDD8duywVT78PKaXkgF9MmQ+uZFF675ctS12svioP0LXml8hxj
Qo26dxCyOcxuMtMEVYRh8QhijVuU67P20YBNS/qGgNl9nZQfnGchxw+VU4MEYRW3s9mQxXcNJj17
X9YpT7mttiDBkv0Qe+tz1XoFxVY21aH1U1HODucRO2ZM+AONFUvPqu7WLXMWwbJZECCEoS9fnrRX
hXdREsEQm0Ltzci3Rz0dFe7nE4fxfJSqQpaHCVzez4otrSV7Gz1RZqm034Rr540bMBw+BunWRsLD
YbQHW2kCJ8YIqU0+iOLOWgD5WDtLzTOz6Pprx1X/0oAVX/sxfpDpzpqvvZqMq950bqaLa9dLRxd1
dWYavBbJYj49shVWx0qDZ0nuOTvGcTqwN7eH9SjWBsNOxCm4YNK3h85+tqDm0iNaBI0psl0Sxqru
wfbDkCfzhoAP355vp6xaGn2g9a4GsHu28w4wyvw4zZrn+ZKTU3FgNA4NrbAw+uLYZ1xtDV0HOZMz
6y0t/KzYsfdBANAHar4tHCqkTRVpFKuJXnc1GM4nXK6EfPAkYWyQF036FnMeqjsrX1xnq5rFvl/H
KRgPJSiYeDvoFHqe01fVFbSw9FRXDDmzVXrJllnPwqYyZXTlWe38rgA7VGx8TXCHToW7KxOV3Ot0
0feBBibYj02zDVLgOUfegH272p2/V5x2+7kq2WUuFRTCrq2gcmtkulI7RtqKu9ewOxzyXvI8Pqch
fqWwkYQ7cXTC/Eh6CijHcvoV5QC4hX5kKkjei9cvG2dMXSbZXY9qTlYPbMiSo2QVlzqjfx/lY/IS
l8183SAvJhDFStYP/x6I/8uBSMlt7Ir//UC8+/KpJSrljz3A1xf9ehj6P3A6kq2ITYAdF1ivPx6G
uBttmmmwLObE+7UjME07cp0Q0m8kL2X/b4eh/Y8Ov9Asq75tuEMCsXyHlgRXZcBi+zs5VOkNgBTZ
ud6gbI3G9HYtWtdE2HhC5yxvR5mJpQGzPsbpFyAoRB0VWTG9+GEbnLu1j59LFcYrw0TPvUVaGNy7
bRfczDkx16SycD+6xAaxHiau4VCt2fBedErdtaHU+Y7V/oAGJMzu3Dn0toXfJlBHGAXvGyfttj6W
krseTOk2lsSL2WOoHorCrh7glgxPwM/Y75JGVby1yzRdGQ8lHs02qN7beorfgI1Y4HnDOnrCp6Oe
WCu9sc5iRRI6PHkdmTwE2l+fbKdsn2bE9gdMC8E9wQcwJCcPFWsD1nCG/bEdA1xxIhVGylPo8mXI
MElLqTRk3DpONmIlc03rpnugZknfcZQOy9au4fF6yegeolQ6zzyV0id/DmDT2YLWx2I/ADZkcm9C
3b1SWPdgU4jebDdi9NytjdX9pepRQ9rO/KmYZ9bh3lh0Jyrp7Ia9Hg/rCpvMj1m1QvfSfIevZZGr
O0yRKd6AdL1qFYOeTbp4ya4cQ/iqAIlD9CtW9oCkIj9ZZXI/FXl+kDROuzX1c4SYUXSyp3q6Qcwx
3FSWk92ljgrQskA5eF56BNzFHBXbPijc+7CdYdi4urqV2p5uRMfBTxnofWRoUV/lkdM/B8gdZrCI
VrGvXKQxmzZ1wzOiheF2dbSNjFRaO6JQqkert71ncpT6DySklz8vbme/uJA+jdmhumeibt15mTwk
vt2/57NCSYY1NXrQXajeI4kaDw7JXztAPvYeSfB6nGzf2lteO3/WU9fdO31T3+R0VNvIM3ywnAsH
mK0VRT95FEQYHlqH8gqNV4WYvkyLvaBse2RBZBebINI9Y1+1bpRdjwRAInEKibsZ3TG8roYxOwrP
b+5E6yRb6G1MnlyIgGmXzIfZsaJ5P3I43jSrEKcyacKTTejGlxxP2YPdoInNCqzzhZ83HFt+bP0U
EkSjNnHSgZTQE5zFDWOo4RrlsmSEmKZXWcF0CjNZviNrwH+fOcp+h/hjvoEhaO9T0Q23oN8h1dSN
Hh9b8/zXl6PAupwKSHVfCPry7416ozVnx2hOkcycJ645WYrLITNcDhzHnD0sbwc6d3MiBZfDqZsq
DiqCU+Iz6SzxmQlhi9raHGnh5XiLL0dd0MbqjcdI8wCacz3BQbShtyofcxjnpLwcmcDZ0PqZc7Q1
JyqZXMl9a07ZwJy35eXo5d6mOb0cyOjql+cgKDimG3Nir+bs9oNY4ZODGrpRl8N9tHD7Hipz5ucx
6LMtEh1TCsCZeJMOszeEfjW+N6F1zJMkawAfqPozinPKisFUGN6l2MguhQcjROstGU05gruV0qQ0
VQoBHxQs66V4mS+FDC3x/Mh4wHnXXgqdpHFbqp7yaw3E2PNSElG8mwqpHZuEeimZLtXTfCml4q91
VSLh9T/1HmaCEwME7naIb6xyiccIczU3OzG6xfTc5nMS/iSSIk7RQ8vSnvxXNeaTlnskM1ZxsIah
zz8vsmmc4hjyFbUcXBxu/47i/3YUDyLgL+uAi9Llz7yxLmMTXvpLNQDxQJhOVoSBLzlXTf/7u1ja
g4UFNxpBLjJlI8b91R2LQga4tRf6IccqL+NVv47jvR/4raALXC/ybSO//iflgbSpOb4tDwQgBiy4
SLMDkqKR0BjF8DeKYFnQGBLMnJ/m3gQROXj74c8j9Zx27tjyaKP4BYoa2jINzrG7EC2C3jQKt8Ha
YQ1yJ9rZA2ZDBZbYhzfJqVM7E3uvkQQNAh4JMlMZAEFKEHFu6t65g40rzj0mR8htbq4/oEj2zl9j
YaecKdWG/gtqIWalmyiNGRd2aLIbeyVsa8w7zLBT5YQ30AjEx6ollE1FysKjhJgO4mTNJO7okgbd
7rvCMi/xYvyaBcfBg6v76G3gYeEiIzEpc31HdMslIwWr1/zU5q53NuFIBNg0s2zvExdi3lXtt3V4
FUSSPDwoWi8leXAc5SZUzQHHl20bwYJ6KWfUicVgsluaSMBXYYPfnmwTQmU2Ih+lCaepa2s4eWPq
va5TOD9U+NROnWeTDBaojrwWl8jITWNC9PLARK8h8GFjTPhf1x2pVrrPiLH5BC4R15lJfUOZasNY
8Vp+m5jJP7nEPC6oXCGmwXM/IeXh3U4m3I8oRJNPZ+ItBy/giGOuyt8aBikPdVTCH8rcNgbm0scF
PbCRJ2IpU9dVKtM7r7Dym3CMURJM2XyLHXo8e3VUnKtM8hoJljGDCWRCatSsiA/juuZXvn6hBIwU
LZocQqrcwXzD40LiMF9p170nSY7kuOmS+AyRFv6bDTEze7SUy1+hXnJ+SgMMF/hqV5JJ5ZcDn8sE
4YGl8AyBHqCUYDcrLZkQpUwS64hcSKUcmEEn0BmpFVQdY8WfU/RNsNLHKnpj0/2EK8s/INQMBIlY
RKGRuZA/SqagYnMJ8mkcRT6e4AKc08lctYoLvZgJfTssTcJPWmOX/0ri3gjgMkE7FDgmBYz9LEDd
kauBSplvNvJ6gpUu9mnEZgMANil7vW2SjosP1RiZmyNLro2cmv6zRKub7O2eqLl00tyEMpr5ghnk
sCQGhwRVtcjJPrqqcpNzU0AMUvuRS5SoWG7Lm7qJAnGSnIln42YlYHLyeN/4kUgyUiZZDPQIWUTV
pLhiUFUQwzwL/kiyFvjuRnOdLIzbPwzmKwJMTg6PPzQfQJzxw3oTVIe3gUxRE76FcBUhnHAIHwQ+
9na5hDOLfCNEw/V1bW72SzRhHJBjjHiXj2RymajPCbeCWvETipSi9UBkQfTGpJAPridgy9s2ZcgF
M5ik5LIK+OXLLTGYZKEgo0jdLinB2EybvTNbMv3hkrek/caIC4bAeRFTTbYdIEpr0+AcgFmhkQ+V
rUmSDEw66gph9limPgaAS6KdtLFoZ51JMTOVNvcDsaSMekwYKqE6fD6xiY0cXcxqqN14ggg4NedL
3NJkki1XHfAV9pcg1brBLrcprRBi5CABxD3keiTVw2px2O7RtTOOKiHbwueDkVTm0Y2vZwvLXMpe
Zq7hDYPIoHM4rB2pQ/uImyLeuC0EfKSwPLGUW08Asrq5uU3ywUxQNPGBC/cyfHNxxi9BAKFySn6O
CBRxcAVZVXlfuy+2yUPugaTxCSoxPzUGzrRx00J/KGzy+iKnS45xn7ov0uOaD9idxocwxSHw3EUs
c0/zwCPSW/kLz0XBFWVFLl8Uun/87ogAm6ukZuy198hPSa+oX7PjJd8YQjopWKPJRitNQF6XuTya
nXjhmooh9ZB1Gqx8rei6yXICgJdtZ0TPL3ogISyHKEagUasITKM853pxMKruSRAgPTaCxLBRAdlO
WR05L1AueT+5asiwG1EtcSc6Zb1cibzlxyM+6z4z0SWfKgVTQMHkvKCTi97ajEjDa9GQSjc4phW9
XPOCwS1YPKQp3tbV5vofZODcXbI+2W6bbDbbPPbGibHw46hZ/B7IVuL51prM7xIvKdejwSRvG03i
o+WtfJFfH2l558BPa+TEpeTHYTuc87DT1oY1zNTSHVvOgwi4u8qSpLXtMPHxeiWRCeaOU2Mo3iYg
bM521n6bgkLlyVrDPQuOE4rtNyfzKmbPSbIU73z6WwzNwjylyMygk0nJy4pMymg+aPXopIO7DZPq
c4X75Nw2iOqp8G1zOMcJT+BL4Ch0Cx5kFM/cwSGDPczYKWaA9N5d0uXE48dTZOUlAyXEJqkZihM3
ukbXqurAfrkynokW6LKofFxz+iI7KyVBlr2VvF2iVaveV3xFlW2S/YaZZy33JEAwHjH1xppc+lZP
t8HnulJvpBQCDI/nAQ/LEk4zdYiH+FyEZ4MMJo4hqMoXWr/mmjMmfKC3sUH9tGRHtNpDs+o4/Z2P
1uy6G6DJADhKXzOpfcIlq/hHzZDacsk07siD3qIr2xIaxD2wGZSjrOnU98u5S4eGYLGoVfGDneJZ
jqL+HYzuQwMS7WAFEgACQ+JcyaeY7a/9bglKNEAIdhW9lOPUiqdqzh0uAlLIEHy6u4Zp+M6Fowq9
p+t9Apy1yCG3u+oEYgKsA3oflgei8A5F5Y4R6rD1gEdiuvJzQP9bGiJM6m7VpMsBplUpTwykM0we
3UCL6Mo0usblut6Hcy+vOjJYH2U2M9qYrabfqMl5ZStS31p2UN1nUCGupBtz9TqCoiQN630S5g3o
g4Y8i7yQw3WLAviWKartbTrLnz+Wos5fF6leESXq8qbUnXjUBXxGcuemENtVGx3C0Rt/7pY2+pSG
YCi7KYK2z0WGUURmu7Bd2sNi5YwmRhxmCzrEvaLVwtIhGIOwNM5vASnmyy2fV/A578PqsA6MgKAu
EsqSTa/YFxr4pLI9ynj6cWSz7Ge5/JQAkHxKffz6TskEGsprvnF7v33sbD7WgAnT3p8VwQKD+2Ll
En0wo4RbOLUreSOLvwXnrrCYWeIYR6O8aaJM7BPdvWjj4tq0AZXRvlO6xuId84jCp7r1CVzeJ9QN
V4NqnSs2AdbJj+ruXESDuKm9Fb6yPwPMLbT/PAc1ZBJWIgzX0Y7kPLE2XCHFA7O5naTqtNbCuecQ
MJrGsTogAQvOZestj0kNUaryqpOLNuRI00jNuuBHmZNoOPnMxjcd7BEcNjMpBk0b3ZK8hAtFQf+o
KvupaPMQrFbZv+IFsW4W1ZSYOULJ6yZq10/9WAJ3iFm/XhFEoo951tfvc8p3yrtBjfBnlVu8IFYN
Qd941p0daBu5LKDVIhQHHIDLIa/JG5psKT/i330/W5pUDgfgwHZs284I4YSJWsA2t2C5O9ox+eY+
1ugtD3/wvD7y5JigufNYgcNNE7F3e3I7nMYuzdPKOS95632M8e/oHUv9+b2o3T3VdUslCNpmtxSA
t3stwHtpnig8+VsFcxf6p5W5khU1pC+VEpTXuQshR1PpGL4LgJpN4w1k8/EgYfqld71vP41TUcKc
BNO8UItr9thPGXiDYePkSmCOX7sRTppBdoCM1rvVYDwgplTNNiESogXWDOijN8iPjPQ8zIHFML1Z
ReeSVBMQJ77JDCqkZSLQGngI8qX6NoMIusu8fnprUGKcV4MbiQx4ZDUIkiEFihPlMjsETCNepwQo
yw5tuwGXZF8xJkiPYZoQ0pOYlOw7VoDdOwu73zXxjbeAmbsth1f8rAYAKdEELgCUfxQzFNWGodJd
eCoQXjH7W/oCWuGpFTFB9QyAJb/QWBIaNzQBmIaoZg2wZb6wW+ILx4X16GSgLuBe0d37F96L/Ap/
cS8kmARhM1gY5n2D9yFMFacuqW3Y/cKMTLIDGxxfXRMSx68XNSXXzvZVH3L1uASk+gM1aNqm1GvV
1FGIBKPgbMp0Uy5XRD3NT5eAbmpRzPl6oiyHKdr8jZ324tX9ZrRO74xgn38ZWKLnceR3PpExwmbg
WWF5qlBhtljr5qHDt16YYE4/AnWB0KvaB3OnPyJrWZ50T5epU7qwDNDbk0IJ8s0M4uHrH/0t7Mr5
3t/LupzTS3gGuIWT43t3seVrax144p8IKeXAD6xgfrqkTXc05/B/8F/QDLpEuwsHn18zUhlWU92W
R2P5Q0TeNaZ6piT96zfm/dkbC9AABEHIRt/Imv44ZhjtplWtTk9QYqgtEpBM5bCJCNaW0LIzr6ue
m7QMxZlEHL7rGfFfcYVrcnwaxIg/MB2n6M22Sd3YiEtFw14vw6VB+ZuIlcIrA9S3L2NDkWlNl15F
Nlh1fL30uYVs5+F2YaTz+Ws7kalpfhpW07+xtiRtOc5IZh9zgl7NCfyR9FpCn/Ebk0gDXYHa9a8/
DiY73w9dMD6FxlfvSgYw5v9/M3QZ0hgaOZZB6EUR71IRtza/WwXQiPdiWVd9ECqijq0rvywgJheU
bX/9Bv7k0kWTgYvfEVj1eRffbYWmNHDqFY/tyZ8jVD5QVBLS7yKSku7IeUsT2pS4OWZelibXfROv
FYrILr6D9+i8hDa5raIGSfs3N9SffCwmUda3afgCIb+/nypviPG5iOREOgTt3UzduJ+zmm7mEkzb
Zy4186Bgw+ysMWm+7jwJBv1zUtzlGvzj7Qw/iv0f/9K8Od9LU6tFkhwxIszyl5ImOnf00lCr6FDl
fCHpQsQHsLfQeylkbJ0d07hVohT59Sh0g70zWODvwG/vk/TUm9kLSRNV/jMuV7rfyrDh/vpLdI1u
5Y9vOJBYmAPICYwQI/HdZZQ6lmZ7Lq2jl/o8A916rdKrEAoRT56Ze4AHPwZjF3PGcwWln2WXSrm4
l2xYn4GPcs8lHi4Uk/FXbnOUYTxehct/Z1kuyf4yHvLcxjwy2pwpDayABKBLwgRsy/5hTPbJqNvT
uij+dN9lO8UyZ8FsEdIQfL78Zf+dRP/NJJpwlL+UpP4/KBX1H+mMX1/yqyTViL6F7XtwEM1e2nA3
ftVmoVY1MAgbA75rvJacX78OoI0enFcB9r24MN3fxVme0YMTbcWPC9mFIAP7B3JwhKh/vIbtKOT8
dEyGLfoslLPfHQxKy46xSzCReNwwdzM0u16VROxA3rGvSUMxgmiCGow8ugA/wyasvyini4uKmoyc
nhLLueiryzZvG9TW8qv4mky1psNHMwC1c3COT6RJHYQ3cfVWVbSQhDpNVroFuO2q8QymV3Vcu1Sj
FVLMqkS1siNqCPAgvsoKHWw+X9WWGu0z4P7ldhFx/JJ7urkiJATPGQrPqR5lsrXnaBex7Lu5MLqY
Gg4OiNPCfUmBXVXbLB0mojqUGcuGLe385Jk5H04mWDxByYG9FiNTkMYlL6vqu/E2s1OmJW7aI5Vt
2ZgC/Kb7Ko/VPJbHeQQNu6PDyM4BkhR5Rz86suiFGHfUlkV/ERgJbX9R01oMX0nWQmLbGLFtvhrd
LQ4vfnAlcromZaS5rh+TX2LkutNFuVv3iHhTtJnJhrUs2l7ssCs5ivToua+R/raIgOO1lsG2TTQw
7rkOZ1yVrc9fVFzkwzHevJvJd8pj50KmEk4x7oOkQXLcOe3NVNeUzFLIac9IjzoNAYJ/DoxiOTLP
HWw/QJOzXOj+kHatzQCZSx3SJdDCR0Kp6A2sSh29vowZPPjzylHeS2BveW5tEf+OcgMMBVsNcCl/
0wSjAkIQk0WRjEN4cKdpwtnKqk8l7pgcFre3+aCTBnOBg6HmZxlnNs5HJzkgYKD1LmJMQnYllo/K
iUBCMgvwj0M9N88OXN3rIujL97UNXTi2R3oWuv/+VI6pcZa28h4JMaNNUjNYh9b4DSl72CojAnBG
AlhLkrvGZN6nso3uZ4ROYOxagni0SMgjBsy/IZm1eMajD6rCTwckgUDAzmTzuedeSR7Avox/5G5o
R0w6TvQpViNNz9IBMz4mvXYRDmXDeWqVxLo04puKqrh7DsX4E9tFazcuYOuZRxFuwB2QnYmp8ghL
TeaRTSa13Y0KSnFVpH74IcRBfRy7NKC871bHgfGLHhiVpOXtuli/+KJs73Ror5/KXsW7QSfLGyxT
dYpXCBVby8I5uiGczCM7yOrul3qu7rRP28AQOGdC4o4ZcR9dgcmSNdBrkKC6m6yoOleQUt/1ulTs
zfu4fCoEYX7dWjTHsVfHHgjClkmvGDY+2spHP9XDFmiiFx3qCg4LT5YYeXLThCSS+n1zzyQHBnJg
l18q6IJnjVSOPENNPTgvkQGo/MTESuw8NCh0qBmFQRlF21q4H8mJekdX6JMVk0TzLhpRdxQ77fl8
jwjAddoMwcPUWRDDYK34wbC0X0uAf0/FvzkVMebbnFb/XadFg9yZf8hNYxd7kX6dP//f//PL6345
G8PwB4ADSJldz/d8hxXob2dj5PwQmMMSp9Tvh+I3h6D9A85ejBuonCLWu/4/OgX/o+5lNQz3HquG
E9rhf9S9g83clHCY5IziZb21VbscvdyskUAEECXIrKr9aR5G/VPjgFn55mP5k5YxCM0J+4cq0vch
ZnFCBuyBOfP5EL5tRjKZMbkmIfasQLPeyqRApO92eJxW1XCy9Kl96jVPv43r9HRJVMWAqUYiGW5q
US+vazxA+K2TjpsfezDClcih1doWsYu7IRPFTi5W82FtihYLcJdTfF7HmVyGPdQDgkzQP95GMrGZ
kkVs8xaIWMUdAK/xi8xDenqd8chtU48mENlR8KStRZKdE8/HcKKxXyXvF8z7cmR3F7OsNRitgEDR
G94mvJt4qpqPXlStB0qaYlcNlndeBgShDDeFVTWnkm3e0D478Trg7DC7vs1i8S19HhMvCQ4TAXPu
G+m6SbZXQzKD2i9Sy/+Q2tECwDKaoj69JlqzCD2AAyQ7P2hXktUlE2wpEDetNDzUBVCZpymxA9Y9
hUKUkyXK5uTp8JWR64jF6OwI8zsBjEby/UzmYXVkpBaQoVNkZAAvaQs2zyFBdedMIVsgQKiBQww9
u4/YxuurK5Jt1yW5HyWxu8xLgPN1ckEHA/EofL+C4rT2lTPNiKe0PA7BumOehoDIHtufYFiMdzLM
7W6LGN07lYHnAFB28aHG8fi+LR8NaOoIINO+pV8okZpATxvDfDuWgb5u1XTQtEA4ZTCz80iVeNAH
oDvWEpFpGSzza9H4xXs7xXAjS3hang+EsEd788VkzT2FHYEyGvEsEAMrOrBZyM49XoMP/5+9M9uR
E2m36BPxCwgI4DbnzKrMmu0q36DyxDzP8fRnke4+x85yl9Xn+ldLrZZaNiQEMXzf3mvHTP+E2YKB
oLSb7yMvR6rupzvTMFKYbnFy14/UM9nCBA4hgdVWMwZJbFy+H73pEY9fD0PU85rPNhnA99ksbRiF
iIgBk9laZ6N5RVxVA6fCIkdVRelT0ZPuWGlGuA3GwvsiA9SAC5j18W2vyeo16A2bpguqoxOuaHJh
wFFpB3rI/Clk8foddvNpS99W0c5MH2OtNF8k+5xgzpL5EpnSQKHIR0UJw9r4xALuA8LmqfeP2b4W
wzefMN5XNSbG2isLQJ3MCeAyVLOOVVTviPm0Fkk5cN4M7Zs0AYwrekVQuwx8UmoDK6EJYkgCjx3j
ZTQ792Q4+UDrcACqQx+DkLLJW3ZW0Tw2XYHwe7CLXSIycTXATzgRQqt2WVDahFGGtLn6Mn6u8jB+
4Y2yzxw7cdUVKt11eV6eEmWlX8qglT5Qy8A5RLVQt7A8++sMY/Iqi0pI4n7pOvdTzH4eUJBgWhFj
dHSnWtx5SgcRNPBJ7GCD+LRp3Sg65DIQN53bNdc9eRIfx0afeWrToB/LpI+OLX3Kx47i6RyXXB5E
EtBjGCPvpUBr/aHuZXtFzI4HZqpz4oOuHGVujCzMbm1KkPtSjcO2VWTJ67Hn0g7q7e92X1db0PXT
xzEmCj3wtH2eIIZtiY1OaTWCRAl1Ur9oaSL1QARXXk22TkSNR1RGYnVfu5zMUZHk6U6np73I7bJY
GUbTb+soZ4MV6lDcR1l9Ln30fahWow3pP9FS5tZwFxd2dQoTF2N93Yk7ny7nc1dE6gv7k/6OB+Lf
jEXZfVTORB49kNwV30m7KrIx3g2UHbalFcuKenyRPJURJTxeO1+LBhrEc5Lyq9Bku1UuQR4Qh3Wx
JhEJLkhWt7eA93ITigHF1hg9IMoK2/yuTGqkC12SDzbpMGA903gsyRg9hn52S36PdzILM3jmaJhu
le1Vm1FMWr/Qp0g/yijRj16beCetyMy7aew7FopmQo9QsOf30vEmrTqKKQYf6oFkUGulLA9djj+0
4z6CEXAoC45bgUtGHg8jP3Zs9jiBMtXkaX6lSTs+mJVlPMgpsxHPtpq/bCo5fQnjAU7wQK89WnTs
93cNJOTPiXTWox4nAM0Tb+1XhfkpRsW5T8la3FZWFD0SbdzcB04Lxqwlr0/rKpUuuimpnpq8806j
7ahj35TaK7HMOiuaMdyn0Uy44etxrvNhmL7O0WMTLJPK3uUA7w9akPVbvzH6U9/W4mACldm4UVV9
AKXX3BL07K8mq1dbEY3hHStb+SKBSH9229z5PkVzOptscSd6XvB1SMZ4bUXKI9S+3GBK6a6msbFX
ZHC1cP+5TwC6jYZFKWG7jGCmfy0z10gBKA8iRZqlxYc0tKoPUPzbNXv4Yu/a2bydlnHyPbcM6DFe
X32kkyLl2iqC7LMIAhdHyOgfO8N3r3o3BwQIN3Efeu7O6xKTFqnJ+gYdsE1PraV7N/AQG4waE8Gy
JDEfIHi3R79F+xOjPT0NKYRiuiDdRxTqqKFKWvUwkTXSSBrCdu7Qv7jXSvOmb3SV51owwdXAjHjG
V+nQao9haMuXKiqYegibtEBAajG0maEt5UIp31+3OlkBZCyIU6T75BbnPS04F34bEmjb3To4XeYx
MUR07z2tIgY4ZGNfOO5rosMW1iPxanUNjU+o1A9uEDQLQx/F9dB6hOEGk3k7VTTrAj8/zi/wUKXC
2FIcWPbkja6IsTKPHThCaGqFQPWcE1YRmOLJcdt+PTpauqmqwt5qZKfSRJcCuzaLI8qmZqUVotxP
mEjuHDuwCD2tIUmhX1ZEwvXeg0HtYJOjN9joITkC1B1Ca5lppXWb+BXMXLMfvbs0yB2a/Syy6LSu
XU7zvPbM0o+07o+tJQEktiaACUJPUfVHZguTevB2flsRqq7F5BZikgV7PjUkWKTlLWSSahfjt9yN
ws6Xyo605TAoT219o3Y+shcwHzlCxQS428L57mZa95IVrr0hwvPZrlJnTfv2Tph1gzm3QL9EK9Vt
diZTXrAg7jU8DGWt7WVuNtGSkib8bby56ktEW6CiV+kPB7Mjqq9geZsQ8TI0rWaTxYkNsAYWjRGx
WHcyschRdcHjrUSl2H+MTMInWADVqqnqDwBPspt+6MFj+Eq3tqx3+aa3umSF2GDaaPA0d2aRujf0
ckZWBSd6YYMmCRWOyfKpJn9HGrBP1y6hPe0YtZHs6UMay5lNfztQiwqXNREJ5KXrwL3yvpnWCN+H
e1mT8jdQG95Lfcpv2qSCvpEKWTM4POcrG99wTdS3uQVzrY4u2LEAnQ9dYJBA+vDQ62nwpCdF+mSZ
7AEtCOpAneG13ECc8q5UItmtBLa/1/EqZlA3Y6EvEjLk+wWKvH3U9bWiliHiQ9x6HsnynPg7tphe
scsqM2i+iSx2GgxOSTshol8ImOV+T2woks/6YKdhdQdUQRwtq55OXlUbK6RlwbKle34I80ERt9cG
z0q6VzH91EBGwMHM6JQjmuFXWoeMbMBPkWOZ2N/SlGQBGusLJ5PPBq7K/aQ5gOmHUKyqTmvWpVCv
6MA/R45255b4pLywlyt6PnSsq0hfFi0uK11oFm4RhPocEa6i1MjWaRw88VrEpptcawmFvFsJ1Eng
oKIb0DPi2NjWi9GAthl7gh2DJElpyLs1iUEpDyYbPPJDJvzOAopPgXztEISV2OQUgEKSMA9u1N+E
k2V+IBwpJeZ8RCWJIqLe0PYjdEob1dJPOrFSxUQINwl5jotKFdy+eJk0c6RDrgDOeO7W823MfjJM
lqXMk2PO8HvVGmeNH9B/zNpG7kqyIw82/odjiC1k1QeEKCq3Zpkjf2QflY67oV6jliWdg+VkdZQS
aLyfco3ikJfE042t8+NiN8XNRsFDVmUNo6LEvPL+0fDtsVSathCzNNnB03tZmiVjhpZgB6+JQibH
Om10/EOt8KAvbHBmD5aecyJlL5WzZBNN9v7FOVtfnEqlCeiPRgzNAny7F3VhKKM1+elltDfGov6i
4jq/LqM0vHETgFvvX2rudf16AOY8Q7WKujkVb5TQFwfgKorlGGZcqsTrsuYbmSDbTEHx7f3rvG26
2XNfFgWpAUTZoBX664USGK1WnTjBvkPuugndeg4ngMWZ5lF7S0YGTcfeC/WIl569InnkRD0oGK0a
RngO137I3Z1v6b/1oz/Wj84j6r360ZcwCl7zX4tH5z/0d/EIk7rB9O39DdP5qXik/8fiBSOI/D8L
4N9GP0pOM93So80oOdfPTci/Xe+UnJD003ChEuRJBuK/6aycTe0/jWqT9i7fLl/uHNZg6ZdfL4rS
kRppgwsbPRodwT6AaLyr7T7a4vTNJeiKcMrwTM3ROk/RmJNRVE5hWS8ar0SuDrDXNFYTiw0oWzuG
4E+czrnd+UOl7vlUPak7NHXzh+b0RUHKRPAJToBHq88Yd/wUv34mbtMNwM5UfUWXY7w/C+0BbtPJ
7B39NGizPPf9D1NcmiS5pEX7iYABG6MGaKSLdjicRlFqnImvpOTM0rJDIgMGnsA2tiw8TYuk0qqd
gdroBbGLV42convHIjq76/2NHYRGsfediMqT6p1ZVMApSm3NFtegi0BeIFZFTR1SAnxMqaLhsvbz
4goNKH2dAINfT6C6j7ShqqtZQjZ2iFyDgZYMJx+k06niSG0ayn4lqxIZR1zNjGPMEXRgqXTTdh04
M+JqYBlHEMkbYbfbNl238cFDHicZmY+1IRgEnA7s11pkqJgtDR2NmoXmtVsgEUU+T893iGb9uTHf
OepGtAlnuYphEAayiJyG39bUeDY0Cga3wVnqPpqRixIW3tqLiVJK0YExq/CGCZU7OqveJxb38amu
YMigwNQ4V5pxaDRXZgEx4qSSwdE20plk+WyKjg52WzeMv6ChYa2xavb3RL6izxOpOX4s8XZqn4TZ
8uR+6LWnthgLhKsux8m+hgaw9KXGpdNyRvsRoMPdmTFulOWoZq+EBrA8vPVJSpKLos7REvwQlBAX
Y7/GA9aLbpLehx7+DIexwSAVporkXQjsHgJAU/GQoolT4EJabds8h0PelztL6Vm25jlSsLQjiNOL
iNUaoqLdVuphUgWvtTdt07hC/Y00Ws2vxJlsktiqKOH9lUhSPUqbBpFRrQYBAkv+MQwGdUfUUzjO
nJpxJwKoHCs8IUa7bgioThepZ3CXtXTgyZIgTNqTT4mQbHsDoeMwTo+yNduTZnujs8xiH0mnovT2
GsStfZymQH7QyMQ7DX2Z3grqKa/mYNHg11LLXUYEjrzmQdJ/LIWOhcBQDNlwIK6NHTZCLE7ePPEs
9ZPpYI6SEglIO0TOsmraOzNSnANtzMX04ohYxrERZbK+0XEYik1jQ9NBmNVVwlCLyXJDJVYxI9L8
MmQj7w7ggTV8n+KJQzL/mcXfyxHFTpQhavhhjKHebL82Zk6ZOpyF35M5v/k00egga6STYJMYFNYI
5RTlC0+Gj8uJcz7KpCzQtDe6VjbPZ2UGNGA+BA1Q3riLzNKU24TSz5VtEjG3IDWt3gU9WsZNPNez
sYFWuy5UNCVFPttJnIK2MRKvBO2ywdfmrUe4PNmS1CD0Hh3WIfwziVk/gq3RtA8a3OvqujVrrb6d
Ro87AfLI9Ktw33pPkaVnyb3fx/VuBAJeEZQixF711qz8P4ss6rblWY46uPa5UIBiq6RdsPOp3Y0b
i1klPJSVg1L9PJCTUePFoZ/hO5b9/FHQquWN4HlmDv1hIuoIa1vOqBP5PEKzNbFTekwUbmAkxZez
CyCULs4QN6WmRxRLEI87AtXq+BOZPkNAE7IL2q/Cd9vkY80MYZDV7iu7vilAX+ArHgPNxy6SQuNc
m4nB36QznA5N5fDO27TGItIq1E9u51fJNyhvJiFD5Kci4M904ghuMtYfVS3QBgYY0HLyYKElFlLX
96EpaP0jxEc6q0WB/olwaAzc4FNPudC9Z7vv/CWc5AeHjira0azonnAbQbptmxB5bYkGsgvCvUg9
Asx9P0oWWdQPQIKNyV6FTmbvtGZAmgBxCp/ExyCkXrCxSgIRwLWWk0+MEJUVOon6hxkXtRSZ/knL
Uce2HCEWyQSuNArRqO+MxAw+p43vfJt96AuYJ5wSU4mgpq44Q6b1eCcLQsZs0edrsoAtpF+NuHeJ
MPtkWBBqzVwP/CWQJzCarVPfekj7ITkmBBuYKkmPURmkT2YMOdTD5LtRGgV1DWjLMq8Dte6zobzp
U5Vd21bfrbvBSe9QIZafELqGD73F4dbRR3KSqobgn6kaoawW+baPioj8W5k+DZnVBJuaUvu1xwJG
GaNSh1Tzkg3gHwwQ1UBCPLYmpr1eFI8sOuVzbmdluIoVIR1upBcfKZLPjxZVKs14G+ugdLrxVMpR
ECvbZysSrZrvUe1gJ+nwUZsqDjZDaponO2gcawXWOZ9ImmI7sGpqs7+qmqzYumk1zdIlUeDFwXMb
2MZd7BflVif2aFXzG5/jBE3IYjR7uc8nKqvrKXO6U9Va/oNXhnKr0Tne2JonqQJoiqPXJGHchm11
xYQ97fQ8n/aDRoKFauH6Tk1dL1uTxFC8KfGODBL52Ee9+qpj5LmiTQKPNq+99A+noYujGPsTWvZz
b9AUs2bwcks0ZYHVenVLhLPMWcN+2O0Ytsxz+Wgy01g048USdQr/rROoOO7e3yJdSM24AaiQ/AMD
Es0wcp1f92RVkQk3nkN0wJTVuwRH/1IfEGnOoQeYi3RCrnymmT9c9eJkdr4qOY0uekADods52vUn
nSSENRT2g+1RfGMajwChopdoTTY57/+6i8Pm+TpI6bD6sN1Ey3ux/evDQnaNF/gHi7QLJnW9ZtGY
/UX22dH47y8GA8TgceLwfaPaM5hENArd3sGdTTjYdixMJTIlbw0x6/uXeruTpqnp8twYPcbbk20V
eE5Jioc8CDkZpzPIwMZdtWzcFgcMBoM/DNPfXG/uohsME6BfmJd/HSWGC+c7TzP7oMbQ//BjDcxD
nSXLzhu2Q3gSeLzv/8a3YwQpGB0cHMhUYmz94ppoOip9RCZLW4EeGYouUmqNofiRFfaP4tDfXgWt
NwJmWGKcTH79ZalvDuTbNfIQUK4lo2bOJXSn4f/xWzhQurYNh4Nxf3EVCVGvwtcvDx7Yi5WMiJYz
R/qF7z+x37wl2FpirqwwrTiXbymZgQNlBJQbEx5WuLOKvp8G/GyTj2WzLUe6FO9f8u30wZzOFMLP
okfPZX99fDl0mQmut3XQCp+6IFzFg9J7tiJdWnjr3J1wt8pmtse9f923HzZGebIhiH1GpP9mQHrm
ACqxtM1Dgrth7RPWctVKNO8qlu4fJO6/+YkMDpB17MEpYF/OVQ7wbC6VmYexJgx4yvBiq6bFVG0x
YJL5BDfOo+bf/z7J4oBY2ZYwf81fn2sPHFyEnjQO9OHrXZ5Zc7iQG2KNnQ8/71/rUh/NLOlRnbBB
CCF9cd9+aRSsXJ3P+UB0iwdoxshI/wV3lN6D9KlPIMkIVsTTOd6OA/u6gb1Wc+qrfvQ3FtHVHC4K
+zUNMB8A/8Hl6yqAXrduImkvv3+rb0c4lGGBqIbZnBy6S3U7lekB95PPCCfxWiwjPypf4jk/FmGg
xVCLPbb171/SeDtDeDq5ITqrI0hD15nv6ae1Kkipl2DmYYi7GntdeEecH8jqbb+69SyyDkt/Hu/g
609Vl1YvfW9jdBCRhyWkMSv6kgFB4Bt2SQS7Tga28Pdv8HfPhJmSsWKgsNdnHO3P96dXQG16l68+
w6B0inWSHIyAdOomJWp6MVT6n8o4b749CXKWr4FSDkMUP/SvF6zgE7DpnxQ2jtnyq8eIh6YqZ5iO
Jafx93/d7y5G3WhGXntMNZergKtMTyf/bSLDAW85pnLvWm9cTjm2XnJKev9ib141v8x1KdPpYt6L
XSqmoB0Z1Ob16SAhraPRwRwHw1qEnBLfv5AJOOTn0jRgMabLee0mh4YV9XJjkoowGqnsDyzgddjc
6pzhCPhCB5A8+RqRMldl3FMJsQLLvQ5hzY6cSBwBUTGdl8GiwtoSzXgHbeCwtGwMhRDLwYWta5JS
FlUvgSJpNggPVcLh+OzOb/PCI+r0/V/y9v3YuE1sCqaeLciNvPg6onwCfZc1zYGMWnc15B2kCtqX
20DHjf/+pd4MdGmjJ8c/QrIQJqbL5a0NdLPtx7A+1IiJ964JQon868rD2jtCHMjHP9YP59Xrp1Ir
AhHmQ7Cj/Btd4pu3lKtMGFVtWweEPNY3Kc3+UFtYss8FEek0VHWQF9hPxTiaf5jpzMshgn/HlELS
vUARKdgJoe//+bu2Ur+NLOK+Dwa88EyhbqHT3Gwx1Hdgxoi3dD9LI0ksosoao4FWCXIkFzVGDpQP
kCAI0Zru9S6jiqiSuV5T1c68r++QOi+UwziqMxiY246//9ZpJw1VPAZte+dhJkPlgfCtuLPjRn0g
kJ3lTmMx2E5tbZSHvp6ATJiyodk6jJTGGj+h7pdQOCKk8MxEcIPBTI62rmF30o0kuwM8HUMebTXi
NCJ5W0yGBvTSgVdMFTvHXuNUpn5NWVrPlw3ULG8RWnV53SaWQ7ZBWqphRd4LwEhYdIfBjebEydTu
EHcYIfEJi66K7Jbat94PxasA7lTwzRgxxaOuNFLj61C7CUVxDRbMEg7GXAyFQBfe9tPIf88962JP
JjBFb68GmbmTfcKhJK8U/1dVeOrOm88+wS2w8dJ5X1OVfGthntrTd6rl0TBHYmBGJ0oO0NoeS+8I
hwFP0y3+zbS4RlDSt3cNnmdM4aXD110YWZkQ8j6bIOuuRbxh6NgEEt10r4HeFMm9UxpwPBqdXwHu
w1bfhMw761hXxlyKGlJe86hH/EF+uv1qIwFUDyXtMG8NccW67nmaM2OE1v4GIQpuOjwDXJ46CJWr
Vs1gARe1EErtM02HXBzf+KwGkaNYjTvtYSQbRi2rRLFqeSjjKeGEqWjMm3zo7fYeFULYrBKGS3jL
cRFxqIHzt0QCDnWj7+vGSVZd22tLRXbisJIzKQfsJyMop8mOdsQZIufagj4z7H8wX2Af9NEJ3yI1
LbfsGrLsU46QCzPyqDIGZAfWj0ZuI4pyI4xJxxz6pnnCFM/acN4HULOHyKECSakhlAV1M0M6YroC
RDiCQFSo0b97uLpvXdUjMj2X4EDPcDMiHLFIxiZGKj9Exd8gMSHi8fxZkaxBqsD8zQyOiN3X3I4o
vQ32ZDyi7w+jHdVeavNmazGN1/A/mm3lSg5GYWrzpsxmrpmLuOk+TwQk9psxog7/ozWDB+zVt8W8
kUDoRz2OHjb+g3iuxNaU5+GNc/wZDZ0K/Hn5c2RHkTGkduVc4wkA70Yg5xhvCjfRm6vMC/hMs1Kj
05BOFg+WvD9wOWAdg+iuyStuxEBBVW/K1Gzuc2B+46dudASSL6I2k+TeLTxMlfaYGo8SFLK17Go/
mr65Gp2MdexWpnU3GSVV4HBibyz4/gYHIaBNGwAgS0i1gLFi0c1J+IJb4XxkY451bmGDqC3FIo1w
BcQL31dZtJwpeCia6oZq/UQOwxzwnSuXikCM5jfT9ZFSGxXydk5oVR2ItB8r/n/7pH/ok0KhMFlf
/7lP+tS+hj/3SP/6Az+bz2ydvZI+H5vFDB/9yXym0+BnT6ATqKdbnKf+7pESj8DKPRcs/rc5eg4o
0dnfUc61WWbNf9UcPWdA/7RiE65AIAJGaXYAFr3Yy3paQSh5WEzudEQYDmNh6Q7lNG0yick4mw9R
8DhnYE0ARwRdCQeWaSKlfv4azzvYuqLAQBAps8l8rjzTw8Jpsm8zJmK4GEU6EvMJYxWAco+oNpOW
PwB/nmApLDuiETzrKfRHLyt3JEvFCHgHAkwXeuprN15m9dkBSjOHrCU7nMKF9O3g2dwN7HvHfh84
nRH59Bup7h/YklT9Q9nzkB+0vHBMeEyQ0dZBPBCNxbO0BJIJnF06lwXOUs6a8swMSDcmPwviQIb0
mX5rdPKzjHOjYyqxHOhfPuaZGT6qthA7flSBQqfTPrPDjB7d2KI1AWspvkPEdGrHutqjF4N+UPjd
q2fo0YIPlVB7KJZIXWkgL72iB0vCeqrIoD/EASlJoJfp/CF+GAagH1fkpMwBBkSKjaeQppO2JzZs
xv7Ai54e6It1JB6AEaMo7FOBN52tiYyy2/Y/UhIMyuPGrIZP+ioZ72WqR/WxJPAw5y2gGJ0Nfudh
/t8Z4Q8zgkkxhU/1n2eEEyFFh2918236eV7464/9NS844j9oIGDhYPj8m4T817wAMBE/CudnU3cw
YfOd/++0gPEUggj7XdszqUbPk8nfUET3P7MLh+QUSAwcyyhd/AtTqhD8oF829J6O+M9GwYEt1aGe
c3F0NSv6woLm3c7rNeSj0OHBw7LCJ1f03O2rUUd79xDYDX4THT8n9MK8vQtLohq3SWzQmqnrPs0W
6Ajpq/udWPgdvhGzHOFdBL4V3aGF1bezdnUReFW8VKM2nILEQCRnkD72OJq5/Szz/jU1pmXAX/XY
V7790MLmv2tq77EoAwQKORL0RSFTv5mbYA2BHrE6dsPsenFj17hvJMrUtmwBfNB4oy8K+uQ+z4fk
0NQ9suDM5fOcZWNkARAObjvjKRuLZmaSG/e+MrV1RkPze2PWhY4EjaDgRZ+hCKYfCu0CaTXGmp5W
tBqYqZTVxIvzgzrXumon/Mz7J/ocZywSeqMHH4sQ0t0yt3vFMs66vUpia+kIZNuLxh4acwXCaGIy
BOjofQTGQOZ2nrr6s5NhEZIlDkTb9JhNdfKj26Gp973WcXUDHxBeRwSeTdR6NJoL0YGy9Wp7gdLb
RBLfCAUQwyWM0SwD7aXrBILfljbtQnbCuK7dxtO3szsVcB1oKhR5nfFcZ7PIIhlRJ6McDMcbt0y1
7yocvOUoKh8P5Bh+1dKGHhaF3O35/pr5rhjZNbHM/Htvpi0vI4fctnQkXoyNXnf5tuumfglFS22i
gofcuCio0YDMpiEQB9eBa7DBXnRtkgzX7CjDkP6ukaidJF5SbEKbdvpWKIG1NyaCZpFrRXJQVrHv
a4sM6Tbuu00bBeZzqZFStDHKydW3DBW169qMseCWySEGvb/i6hFKysaO1pZj2w+IFNIPNTqLB1RA
03NVhs21SwDFY0zhaBMi7pUrasfikNPzvfIrK/wYT/NWDZXHlQYcaUnGNLyKpLWjZV/wI2MFo9mG
rJhvqeBjXrGrdlgAlZGLkTDTF0WA9da1Gm9LeIT4PkjBqQBST0bSM0xR4jfMOEo2Xqy34SlJC/4u
DwrgRhbSHMylJVB+0n6syc4EWJE0937mTcdIDclSoGlZqVb3j5lE+MRaPrhbo/WMTQ2Y7UPauck2
czkLLBIZ0q8b2yhzt8QONA/ErT/bbdpdZ+C7WJCmeDnHOoTEMbBZgNyUHrPAVy31FCk3kavIxXaI
G0QEiaoUnh0Chs6tbwiqKW4bqbK7RhM4yaYJK0pkGYcuIObMMKtgTcKetVOObNck9aoDkn0oSQki
/uWQ2uJphKWyAI6GOhl5EB/qiFPbokW1hMEaMagGP9nkVDvWZtFaHD38mHMsjtNtVYrm2CHYvqEQ
mVwBc7ZvQYuZ6x4S0HxGafA4B6g3YqAwnnWdcjLpVsOoO8+90qKjbxjBl6mOY7yVqGvgrqxUOfvn
2EsNlH7hdBDrwDETu7vuvCpEUe5Ki2uyOYIiqx4qTy/j9dAbIbCiHvKaluTqCROEDtC5Ck+9KGta
AGWBYMSetmblkI+GoaRoFzivydPIUQ0RDpmSfGLSZV2jDEJuPDBREPabDvqql3K6Gnxyl0La/h89
fr/gEAOdaV9mhdOspArqQ4d6Hh+anI8/g5vAO5vPZAu96vA3hg6kOocMw2WdstmRuBBhZKRY7cw6
A+vRxiTW9nXEziw2STwWEslA7fXjNgSiuRym7JVTebWuo8ncFz7m+2LqSC1PgHIusHiTTj+MbH+c
PG1LJL6qJu4pSQ5OTgsCAo66M2XPrNTIzn85zyxV0vrfPWC6h7TgC0XzZZALMn9FpWTSGhVzVE3E
40pqOtNqbxZs6vBS4kAoZL4lIKTeQ81mA9hSWLk37PlCbViPK4T33EkKoeQ46Ah+FuHspT6x2k+n
pkaauioKhayow4FaU+b60T/773bpD9slAodcKnL/vF26LrqoiV4vCR7nP/W30tQF0yGpnFqCNjwI
abo8f+2WPAu4Bx08jkTSEBCc+V9/naIEkRImVA2UpAS/0QVjk/PXdsnkL6TvTL0SHgeHKu9f5aWL
i3K4QUMBUQIMY4car2NfdluAmg341mY+fO6zegJdMO71sMLp0Eflpqhit13YmEI/N5rjP4IjrPdT
lvsHrY58tiIm81jqGNcFcvsty1S/NHuDD8h1E+3RJSpx5YQlaxSuEm9pEAJ3Y+Ra9y2uTYMUgyD9
QLmpJY+d3UwQZv6x0K1wHu9Ov6LMRq0p0Gucf5mmZta6fOjQYp5+emW3Pw6OP3O3LkrOPAGLg7Jl
8xh4plRhf63BxhMgj6Ivy/1YG+Mt4ApvG0wdx7e2nX8X9/3+9S6q6efrEe/JFlhHJ0wo8a/XA7eq
jzgcSoQptUBilX4O1NDT5+IZvH+li53wfCVH0NBHAQbr5Y3wRHXSULM6YT/4FfNRjAGI1V7busKP
HhAcWtuJYLj79y/6m5+H2MNhG89ggrQ7//+fWmmxbjYD7NB0zz4Iy7A2b54bHSnoqhtt9lb//mq2
RcApG31LOpdN98BzCS/KYoKB9cGmVAhodzPK2hhuutR7fP9axnxy+KnwMD9PWOtcxKFdMPfGfv1p
AIbTMKMQt6/CMQXhGPpNiqIzK4BgooUMJzaaXd0Z1wPY4Z1KnbZE58rS//59vH3CtMggDVg6rVzA
KhcDNsVJPmWdiPdVl1BTG3FNrnAR+4+exHj8h4u9HUM29RwO2XSxftMIrCsvFW0tWZcNpe4Kt25W
rcYXXIZlEu6nJiJY0cm9xP3DdX/3IwHyErFEU9Ah9vbXZ41UEfOZLOM9znAWPJCWj4Po5sNChD31
Xz3Qs9DfAqOgM6nOFa2La1mRxhEn9LDvQGxdgR0l4KnkHHAVAOB+ev9aF/PtD1MBxCbLch2dANGL
lxdnrdRqjTGkJjUYq8J3skMacRRbvX+dCzTTj+sI6SJrOA9X89fn18m0qWUxRntft/uYHPeYH4Wl
zlygS7UfwijKqLpSrkX2PgPA13oWhD+iaP9Rd3MxduZ74BTOREf5ffYDXZzE+8lIwFO03EPfBKvS
6CvggUoLjr6YqJIFrs3uSUx/mM/Pj/Cnz3S+7Kw3o61GKx+zzsXr7APZFwpFP6ldvvhYxzI7UEmc
TmWch9talMgdWw1gDfD5EfSAP3Ck2w9gJ74aMq3qLxxWs0Pi5/4u0LXsAF+ef6lYu3v/Df3uPjk4
sTVAlYc6Q148noSg9oEenbZDuCE/T1Nn1cu+SrEv+qkcJCC9uHTYqGsOBs1iSI5IajE3idz3911S
WFdeizV+hLh5mo2QzkaihYtXBRSKfvv+vb4dtS6KI1SMKMRcKS9vVYfdUEBTivaZp1MhSQIYUcu8
adr1+9e5+Op5dRSTeWWowWbB5OXaGGl42nytAV00b7A9hOjRghgH+yptLPvh/WtdTufni80VqVmy
hbjzslA04ZxvcIQynVMcwr7u9yvQ7t0y5VPZ+FQblgjXpyuDzsmLluXBlopp+4cHa+hnwcGvwxXb
IvWyubeOoOuSJ5nWpWbyZfg7B0XxtHdSk8m09UZ8xkFX4iHAi/TZhnK5jKKO2s1Elm7Afye1S7lF
t6+aoPcPHoWJ27b3TOi3VcypqErBeCxNusrHNKTYFUaVea9S4X/vxy79gE1OHRXi5WGBa1Q+ONWY
oLhx7au+1plwm4wjyNkqCBsfiIwBPirEk9ut9DLSHsFWq7sp8Of6Sh72N1mtt6+pP+mfydX1j41W
TrhDx9z/TiXGpheYYY5Z4Lbwd6qBTr2JnZCaiXDA4i6ogVj6gphB6xVMlvEl7zLxNOD1rIAf9BkU
/9G3vqd9aw2rDBgU3GY3Do+B4Mu2bKYWo+6jz13I5E1EsP09KDTXXOYZ20Zc0joZvjhjgg5LtrS2
g4WaZpU7Y/PVdTpzncOne3ErWsf35IEy3vj6gwRsrcflS3zPd65JjxOjfue8KMu3V2AJgqMz/9nG
LrgNnCDWuoqGZgCGmmqPXiGmI+tM+qGqpuHm/Hh9OVAmQH91VwpIK4dCOWm4941AAhvQs/AIhCrr
1pX6H/bOYzlyJc3S7zJ7XINwqMVsIEIxgiKouYGRzExo7ZBP3x9YVTNVZd3W1vvepNm1vEkRgXD/
xTnfSbImZHzKaTVoy00nV06oH9tMVYOm9WuVLaFfFBoDobThtVugWtHXqmryJOZUvA4Q1hRg+Wp1
TyCxXeHn5+ug1kgulmxirNZ2+tWp7oTaq+uWeO/iaSHw0ORSyGLDeHYqKL2eovPaloaefhGnCImj
q8UnvDjUGHxois6L0nJ9ABE3S1/mLGZZA8x3WGsIEmYmm34UluRo2jpebVFFERrbc1iS7ADiEnsD
GRCOZMQzg/gI0Pavu2ok7A7jMdPCeFpgCUW0XuRJ9uP6UJqKqkI0os4Zkp5wsYxfoPfKbGJ60/OA
hWqfNJ/JRiSpZ4en18wF/KIomWsMH3QMllkrT9h6ecHUWCyXWMFXDG8gdMnrDGaM4XcYZ9qdzGzt
gHGnDgnDxL+r1N0DotH0qG4W32kz+6ab7dfSMQBrRrWeBkA/B4R30VMs7bDeDMPtZh1eNhNxtNmJ
y9XeE7fQ+C2Rqnt1Mx0TNYUvGB+yuhmSlRxrsrqZlHV6Pl/bjMvuZmEWP25mXlX9xcXhnG5W50yD
sbOZn6chqU8syhgGKEPj5ZtJut3s0sVmnAYtXwTLZqbWN1u1xF/d2djE8RHekVbteONozAHAOAJU
NmO22abPVoRVfdlM2wXubXXITfTaGLpztySpejN5J5BfAnczfqducu1xgruN/tls1vBMKY1gsUiw
1VeM40wv31qgs7jHjabwl9nhVhsa/aPEcw4CSWP8QXrdZkfPBSr8MbqpKzt+k42+kpG2YF4vSg5g
sdVIpb7cWqlhQGrv2wdWRf1J2Szw62qdc7tFneRhM7I3lzyHCJ75Vs2bw6LVGWjEaIxab9kM9hrI
K82LoJicB7PgB6oLJIHk2ejrs7myP5+xLg6hJPjwRmpae0ehJJJgwhQV5Cgln7tmiZ9hbk+Pyw8A
oO4b8LtIZpZLjiMmjErL3pEh7PzKyrQ7zvAgj+hWSr4pVfSli9WrY07T1WaaGBrrMITb/WOCE9jo
BGnTlvc98eG+zSetOAoFbbin53Xkd9ANYrxw3IUVxAPrB34gqok9YMSNYCMVPzQZrc/A8xeUGzkB
SI/YDz84ha7Ry7telS82XsRAm9LxVvwAGOKidrJA/oAZzEwvmQNDayC80LwnoaDH1zfErzKLpxsD
vIPcOA/ZBPDM053J/SCapoce+AOFGDc+ROV2ycn4gUboGz9iHUsezIzagRahUB6KpbNDAIpv1cae
UEs5vg+icv4Qc0+2sFVp+pNemvbr/IOuUDeKxTKAuYrqgXqsIvWgWVfwLtjEHki9WhgT1+hQNioG
HbR7cGcNVEajDd3vBtJNCE10ObXSuNgbW8P9wWwIVzsL060oYWBwDHYBjeMHzBEZkUHzv+E6NDQZ
T0qqMH2QhXviTXUfZ3NYAy5hYB+VMorv+YcAIhWmBuiCAqdu9QCXehj9IENI3zD3OCOLnbURRVAy
ied86ev7WPaGV0ZadowyGCS8gmlglKPfIo/ZjxuphLneBfux6jMN1+/jtjAPJsqks7sxTrpmNR8j
DIJB6Uz1vkCzvCtWsFOD5FfioMEp3G/MFCwC8FPyDaWSIG3FLzZpvRf3Eakd6mzcDht+hVQuyn7X
qC2CdjY+y/LDakkzyKRFXtnvZm4xxNmgLrNiOnUQRaIACQH1RdKOn+VGgpE/UBjjBxDDmJg7nRCk
jmzt0bylY2/2eWnbNABafWIfJvl0wWedsrK4byxT3jn9jDUSeavrp7Bqyg1aM234mnED2aCBjC7Z
UDl7EY/lVw79zApJ/mxfRWxucluAOO4PG6fZMDnKBsxpsqJ7sfvmo+RLh11bi8J3WWNgnIjW8VMF
vDRxCADgiZuNxeNoYHnapDIDQer2Dbk2qU86aMg7noZ5iatRcZsgxfUPTtw1+rAimuVib/QfsgpH
3BKZEjgud2CbGIjnNlSQYFh9r6lj/5V1OCyztuDW4BDAlSr9Udhtbj7DKa3s/tsCMC48FWVj8idR
lhayGpGsfLBlRZsklT9kE1WX2Wz023Qyh2cljsYv0aXOezy4HfspqGssQFTQDlx7S1nY4J2rsjoo
lsDbqWcuiwprfF2klt6q8OsCxRkLMDttVhPbnWs+VVR8u+iLjaOvZaqht9HRRARh8FPJ+SCqTL2g
USwwjk3cGTWZC8QxDYNlUV3WyZak0M4HDRrUSevKZggQSNUcZ8saP5I7oC/+bOrDERsr14jGdIjn
siAXB1IKoQqFq8LFqHnfuBT2htrIU0MQ7XdDb0SHkRRBpZS8Cp2TfkRYRpHDUuJcErvR4ZTo3XzA
qU+YCAKWT0VvlD+6NUznyFniJ7NaMx8JhoYacXafNZYuOBHN7iNqREo5qRIj3qfPFMbwiCKWNUne
Xi3jJY5XiHCst+jDIh6q8gX7GnF4jnK1R9i4mV1hJgb0IfDJel0lFx9WaenNFCeBbSfExOPc8xx6
bITFW8rMnH7lLCkq0l50cu4SWXNVxgd9VvTdYE2/MVG6e3p54bckJOxy1DV+XloEkBCvq4GEQQYx
7JzYjYGY6kpgRzzO+Ho1iGblfli1TxIoLS+pB2evLy2qiXIp9kKm82Nr6Ymv49m4ZNX4h2BPw2tR
a3jWOOoncCVq2DPNAgG3FCTPMB7Q53EhQq8b9k0i1a9cknNKj8+tQyF0EkMtwt5NSVmaZH/GEpyd
c23e5xaZLAYFF4uV2QrkNN9NlqqhDputg0l2gK+SfERr0uAQJGgIO0F0P6O3IYYYYpIj+9+yU+qw
QRi91yyyg8rW/cAmXe66pbHA2DM7WGPwzVP/MBjKZ2qJHVANknwhflVlfyqV9n0q17shj06ytp6b
Lrpw5DIwIr33xurWP+SIvQAFvSJj2TdU036VFZ+umk57YpUz9rfuFzrd3l+7eAhcRUPzW2yw4Fr/
ml2NwkqJOeQT/VhYnQwQM+wy4oTmxCZjKLa+y9FtPL1kqu2ZCh1BPA3w34z1ewZeZmWDvmvtAgXp
4i7xq9r08ep1bJROKGCJ0FoWD8emsdfYUbbp2zzOPSvf5Gy2z6ozDk+tgwg66dNHwnuSgz256BTa
cXhT9M4JZ0zdB7ac3XkYiKwhbXb7mC/qySSV940ovWqflq3lBH0ydce0tRiPTtnWTthuMu/rSaOE
TjsUCatmrWc5mkq3Q5B+JR3T/aXi71dOSlMw0PFyt2cjrW+sshsUez37/zZBZVkQpsrX09s8+1wY
OpPwlGmRPMal5Im2pxw2BVNNkUn2cQUawD5GSZhTDx1QEdjKrRwkqSk9XDbCbODbe1Y/0XJuKoxu
0KN3hyRVcPy4tT2+KysGkrdoRHSHRirQnZq2KOaxH4Ka44U507bTWGp2cwMq3TBC+7urat28gfUz
37bccS84dJeLIth36wCNQrm0lnqbKWY6htJdaDsGm2Np2lZvlbZ1J1o6j7+zVZ/uMmvRzkie1x1y
4PyU5FP0HhNuawYxUuar1psyRCFKJxKvo/pV18i/QCBuMgHDlfXiJ2bTv7YIZAOnUCxW/JrRHant
+dKKVSlhUtOgB+YSr7sf3pU6WfLDKogASjvKP08kzb3ZrciRR5jKm6IEtReahRw1R9ob0YlUAYYC
YBguzmAzI9g2NT/fb2yEEi41fKvIMtjZ5MW4xxtTvv38Ly4O7atqQQhiLe/uURasB91ALNKXkh5s
7nSmBI4x3U0rZY9Cs8muZ62sRzfnxcSOhscZ+y1CVQbFMOFZo8w4FYec/9xM6CoW78TdKy4/Ypmg
ZiE6DlpqafavdSr5BdKMr8g5glaGwQsr90J7K5EEU9rniDIiiIHHzqzm+3ym3l3hrx5W3A8X8CeL
xFzP7yVKZuGNSdvXjklTk1SetXtKNXr7YSjwKCPwnnIvXZmKMLzkMBgQzEZq5wa1GM32mEcAIXj+
1VU5u3XcfDL8S/dqnjFRdNYbt+t6BLaFKxnJtCTueVW81jscxhO7+Faqt6Y2mTd1trIhW02GV9GK
amN77hR4ITtsTArlvyxeiq5YHxLZQyAd5y3zZcBo9EdBtsBQhDbroRi216QY2LJp/Cfv1Xxb2yMv
G0NKX2jNetErrdqzb/77+tdeouluLSZWx+Aod5bgCZBiS7pz0UE/FEVmPQI2U0LQXQ7vEJIhaeNS
nAlbeyvVjZBeCXQw25YbchWvlmbNPLA4YpfLyBcKFzLBzKCdFPUt0UyRBYjO3T2ZR9o1USivNVgN
fCK3hl9T9OjPqgmGShlPk4EUJdgk3J+MEisDyZA+Pkt91s6uNkWnEVL4J3gbdJpE3sMrSPgIkwzE
bnKS0SlCyfiZE/ECdmNWkOD3Y6GOXldE2pXmgN+wIodtIJo7zqmAYQfv3QpJDn1L9yrd7eUtIfie
BtwF4CFr/TrlMqPS4gfX+zz5RTZJ89nCEmu4yvvxVMglOkpGrugBHKX/hNDrxyoTOdny79wuzW84
fL8Gsx/9BMad18jmu1Id13dZ5u37Ed6zKnl3pIz4sM98AqMBiGtfVu5ebiquuLaIRWMEfmmA9793
iM1Nf7VW7QannXZXGVYE4m0jkkg6HzOARuHuVUR5vcdaFL7z9hRMYFXOZmMyUsD+N/q5I+kJJ7CP
J8te1S+Qc80nq0il9tnF8pmuOzMKarrT3aByPrqCVyq2YuVpIzMCzG/4hV25PYOdig7INnGOI0nC
9uEYy3pQ7MEJbMeGBehYyfjbseiTAfhq81tfp/PHjFFN9XoK8o5RahOHCWUFN2OTtWetHyuyUeXw
lKqT86vBXfYnrWf3NJpJsXjxxM0kUiCoi2kvEFyALRxHt43eM8tEjNV3RhcBf2DAHZAnWi9/Gz//
r9DhvxM6bJypf5qeB5/y8+/g9dvP8vf//T83KIWG7/xfVKHa3/7RP3QO2l/sMf4fTovB/t9VDo77
FxElglnFj/GUBcL/Vzm4f2kouNm7qZigdE1lifUPUaj1F8Jy7JioEtBJbf/qfyAK/Xd/Jy5G9tGs
MJmHYagFTPev2zA+YkmH1Cs+0VZKENaGZj9MGpcrgSJyn7Y2T6D6RabIfGxaIRBJ1Y57RRYgD50N
GdZotXavypQr8J9exv9EfIDIkW/9z+N/9g8m2m8igBEhaOq/j/8hwy7kizjW0R4BEN+5bq7eOStN
jJdhgs09bagfUwDjIkzhbsrYcLkaoLGWsztEv5yq0rgpTaftwmaxS/t1JbLidknaSfoi6bX3Mkkk
qR3FiGRxHS2FdEhmPepd2ZtOrwQCt5ZzmPJoDQQSOMk4tphETp8n7Lx7Tgi0YKaqMGuliy7aq8PO
ewkEs8Ryk4UBQmDhHdIU0jEjbm2dIemG0CVp6Z5acnh2a8jBE2iskTRSvYg9Cs/2q1xK9Soioyao
gfo3I1hlQ2Y7uTlruzHSk+IkjbrIdyna8wLtniEeqm0Mxwh2V3XRyxzFCpzmtTu1caahyjT6b6JW
OhT45hxYWX+jxTVcYquHJJ7O95o7L3u7H+RNxN1ympVRAUu+th0CyMy6bYWxnKs4ATOa5UxUB62+
Mn57V/HzgKfp6xp/XZG86VHESk4dzAnybK08rEPuzhyrSw98a5zPsb0+qkNc3HXLkHrz6la2B4WG
9BH0MOILaT0XB9JM0vZMgdrPUFPrqjp5c0WFbPhl5KAyHFc7GX0DgunFqIreeM5iEKUzPiFUiW0o
lohWghDYp0VVGQkmOLnwmZrIMMtq19iQtn2tszDsGaoVrhUT7dmI2CqAS/WMTfI2I907ilWC1Wlj
64FXvb3Bd9ixlCnUU6wZ7om1vHNK2GHEQVSpxVsjtf6ptuvsTzthTPDzQWke6Z7XW6PS57Mxqvav
mJT5nYBSG5Ytvz0Vp/SLZQQdlNaIRnndxW5tp5m1ChmXnzmPvYcudfYlT5pHbP10Ve1xuiW2Ybwx
p34IC5G6e9EmRSgVenKAAAa/kDSuCVcctxeZBDEKPx5pIlGi3TTmTAVXgiPf0JoLX5kLxYscdwhN
WGCfeoycsMyW5TfqzejSlokInHnuDgLI3uTLLLPee53yxo/sRDsCncmIcZuMJaG4tqtlT24Cfg/b
7HvH09vS1n1Q2kXtIdJagiIu6OgYeStPJm4+SnSloFRBVHQDkq82w5nX8Tjaa8fmAof4Oc6tiu5x
4tUjl3zF6piFWT8mWLpIzfUqJxLf5SQmIibBEzytU7MBfDZGbLO22C7NLNqR4h75xGFvny7Cg4UX
ExY87kciZopAJ9zxwa7U1EStXlvHXHbPbjKtX/a4ziGcLXF0rW0KZC0uccaaUt9yEk7vY4Ikymsc
a1G9klmIFuT0hkTITCh+QTl39gdaMRiuZkun6dXEU4y3RtnAINTWic7ddWy8paNMyvNS28ia3WUc
j3VMvE8AxLslE4re7c6EBNV5I6XFXV/AVLc6uG4eMWgwCxcURHeM0Zr9pJNh7ZHOVCu7rteISW26
1bq1OA5uSsS/FM1RUb5Esmqv6WDIOpyRI1+idmrPSsvaOrCNVr1Lnax+spFsF4E2kAij1vy9xTPq
hp22JKcR7NVl0pPkPtWn/LkpterJMaXmowUrg7KZ8pDjmcOXVIP8O4sJLfJg2mBtVYzOugeOUihv
jcEgmlzn1r3qhM2loY2qgjel6axuBx/M/d2tRnuCLzG9x04C8nvRxqsmx/bADiBgnKR0XjzUyUGF
esdspE3ETeKOGQ302D2aRr3iqtOs5GFT7LzWY5le8SWV2gFsYHwP/KFBKrPIHPSInfQf9aJWpSe0
itOhW7KC8TT7KVYSZDeZ2jxe6ODH2otpVxJvMZxNv7xImKUETuSBOfZ8uyKW4x/Od/fqKglZEbbV
f1jQowo/dtX1LDibd9mCGqnL9TlsJ7MNORvmI0v06G3MR40/eOg45/mQ54DqINTDmfGGNVF8Vy31
ymfdYZ+12HSh9yx6su1atfbkzhNOKeiXA4MG8pa3t+2gOMlNqXYKEntY6WgN7ZBhw3dmqFMwObCj
83Y2XmDsNUfEE/a9ayTMLIzyW297timumRt3RCefs4ijfzWLc7w40ffc10fXBs9smcrsx1rJRFet
mrBhWHy74ATfi1phgLGuM7ZYPujCm1JnujVZBvm6Tgw0CYO6N3T8kTqq8pFNefvQ6cZ8I8yWAXTf
JNU7e4fxezQKTNSGaQddWc+E/9FBFMoPrq01DV8sdsrRkdmjEy5JlJyJJkMlzHUKUdNpiQMwjcQ2
fK1fbREOi7KIYCo719gtnZLWwbwO6ouVSVmFrdXmX0KSCRMubmXMdDqxHgUZgK+VqZvcEpiYXX1W
hIKseAxSPLzDqHbvaZ/kLwhVebuST0Vk452iivy6qNZjPkfmPsvKuAwNQf7YNqGF3pwynfA0Cq+7
iO7xSIlVfyx1JHdyUEo0zCrvV6RmC4ngRlZ9GGZb8jXT8ZeuVTmxYZHYLtGuvDhtr517jjM+Rf2y
+kxP9NGj7qKBKMiL4gGx9fwT0NV7r2hAChfkrT580eaUOZFiY9pzFEHsxBwl/lDQA6KcacvrlKgS
xkm2PBDImD7ODH+NwOo1A/5ioSs7HBXX2J24rE3HvCSs9QPEHrp+3mI/zMCd+773wSuSYm+WIg7x
v45BlC3295TN7ZfjtszwulVxT7bop63ANPUuJJPHDRdtlcLrcPQdncyyayj5g3XGzLEKDyjyoHsz
/MIWwmE2nknrZYwPUJKBTlcJy2Q7m3WvesYE7mE0RMlOj0v/gU/tSnYAz0AUunVhncAOchNgqKja
Q97yeqL4ipKIq1VQf9WF4TzOM7FrdWsr8AGyxbpxSJWbvcQ1mr2DESm7dOg1gc6hSLvdrHwvjKLb
q2ZM9kcbOdm+tuJOejlIim+hRcTtEIBW7du+m8kDi0sGy4m2cmW0KDsYNzbavZ6i6T05Teri6rab
P26lCuLsVca4BHgV6rYlUrzeGCw1mAfWJ8xpnUWvrb8V2f/b1v03bZ1O74Tu77/Wr1/Sqvrd1/Lz
X9x+f/tX/+jr3L/gTBkM+nDd0vKptG//0K/bf+nGFj3psGIx6WL4Xv9wAbt/IXfnFBPsXWA32Uhl
/97ZCYPOzmVGAdZpa8j+h6Rkmrd/baBUF4Ez+mFMh/yAKl3kv/V2zERKKSr1plKVOiEvjtRMJZg1
9Hup1OYmzAVVAdcbS+odgyPNCK1GGr/nucA+VwIrBzS79Jd5iYRbey1GvNd5LYRgWQBeJZh67St2
9Pi5JJrGR5Rqvo5CSMIaYnnP3lmJsIJlJozvRLERr/CX/mjNbrNXsiQ/dDKrbuwM21s5mw9FJ40v
ZRLRcqP2LXEaSNPlecxcUT0beTTY537dkisGFIDcRwIn46/sh96s9zNwXCYrLvuSdeknOpJ+CYxO
NXxuhOF9yoivn70BwdQlN1Jzg4GUdrPLeW8fY2oki90eKqKwKaL0WUsWbMTJxCqrY+NrHTls+l92
V7ePlhj0Y08fsdfn7FcBmCckZ4x8aRXYOsIRXd9nevq05EZ+b2UgjA/8L8ZlsbOoDJBnpQdZoRn2
OkRFodSUT4IeuGtUOP7HrrchRVSuEbYoI3F2ORykeHlaM1zhTF3pOMzL6G6ZPXKwteNAvQv2a3Wj
l7V07MdmU9p0ctGdYxdJQ+E6a8xikweCZrC7KHsbpy4JFUNng2bZNq8BJ3M7zNXJ4qBkj2RDwh7K
iYhCanXg0Msy3bB7iB0OsSYJ7dRarwRyiVQlwx48a65ZOehVcHEkWR4WNEcV068FwYaI2mznYPk8
CCQqb82KqpU2Rlmf3MIuBL36ZKcHgRSmeEk7Z6ieY4SPbNwGIBuzEk6oC/p+Dxx1UftjEpvUakjZ
zVT7ZDfakVhps6g1zQKTei98vW3E7WpGE/1bRDI5w7Ej8Mqrk0QW01yqjDyvCVBNTZaPglvPTzDr
eUBHaFeKVcHH1Zv6FBZrNPrdjGimUuynfDYDPNZIDbuLuRCruFKr2Wm9SUSwu5v5XsxldMLuuqtA
0zwrSvIwMz4hJJ2fMF5nXFnj8o78nk2FnUa7aFwewWn2x7ZLknC12uzclgonPoGOOxm1+slVAD7k
vUZ2l0JpX6JbY69Y1LvJqdMbpVjWo9ry0dStQn92F/2jksiUWi22vSyRii9wSRIHaUvJfovCk/Lj
qwMncupSEd+0qFZQBpVqiFxnDz+X3JpmYFdLbQhhOEhLpfLjVqEZbjQawjhJfptr+2bPYJdd8KOe
1apoF4H9O74qnClwhyU+V1viB1U+mZ7Z+ihTblEN3wwyJpN7t8u0e3767CYzF0r4CNDmUTMMZPJF
s7AzJD/L5sN2oExASoTtko2BxNHSIm83H1uDHEwnPa9aBJhmwDSmr08pAVC12lNR0BezcT1CKmL9
qC7gAXj1YyvxnVE89227d5b5kunKTHk7zLuuKWQ4Rit6j0i8WAbcblJzcQaXxe9CqKzMqomYnyIZ
HlOlouTSNB9TZ++10uQQTJ2LaBggZ+UMStZxNVZs4EDUIYFuO3cVdORx4tlqeq3i/bD2LKkJYUnc
4eB0xfcK7cBrcTadLI7L09CBzJ0jI7tNXJkdBsBqAZ8K7YEAj4cx60OUmoFDSPLtzG7ws9hOs3yI
bLI+KFQJ+tTFNdVb61Q3zO14w2CazI37brfJm6r08Ez0+Q/TAFR7THf8PiXyzSIDwjchF5+GhYFB
z7H+IDGnsouz3GOe2dfI6h5Ymao7jglUJsz9bL/PLfnKuTIE+mhHo9cYMrvNdFYvrczlXuWN2ql1
O4C0NZOrMc/upZtV8OaKRDlSvvcx2j2YvHf0YyQAQYTAJWvTzvZ4uStOF3QB0aBmu8xgPWGSivSZ
iPQ2NxJuhzYiDUdji5LJp6LKrZ1ertEj2fGXRmk7f9Zk9gzX/tmM3dQrlPGzX903K9aP6BlQ72hD
syuLgmpOn3Y9K97ayvaunjGxz1pxS2RNuyd557ti1hiyNuwPqtSfmsjOeYBz9nNlUjByaSf1NtGM
6+A256JPXgg9Ipi8WFmBC0zRfRPS+H2g74G9LJgBbWdpozj3Tm/s+zSbrzNvXemRLd76HKPORx7F
2lthOlbQGTYfNQUpItaui72MbLnxUjq63JmIn29wmDgeRo8UbraLeiRfCmdfzMN6TGp5kE12IlA2
30vYEPSdCinDo8I+ly50jVzbcyYSyUh2GcS3oOnnwEYCfEtMk3ggMZnod7trL8WwKcqmEZVBZiZf
zWzROujDeU7pBaupeNbEeKii+uKi6AuMzHVDvZOPIyDENrXL7xF/rOssb3S2RUj6rs8uus59vPfp
zbgYR9Qv2k4kEdrjmL0pOWSiGFlTo3mg2dVuzNQkoFgxFq8fYuMdWVtzBR+XV54CnbkJGRFWBLsZ
1X2sjGQn1l1i+ZJ7rUmn6oDkMCOeTiNeamiGsx5XkZ/qOvSiAWhHZCjPiTJt1/OECtpiSOwQ46Xa
+gu09upOjZtxDsiEETGBwms2XDHdO0e3z9fTPBrPgpngl9KNSnyISuDoO9OejN4zCm2CFiDwgx+4
Z3EgS/e7VMZ7LbFTHz22vPZmdT9VigJBSnkol2S4y+f0ddvU7IbZIllstV6dXhRPc8rqWAE5ALlw
ZPdXtB8cr+IwQU34zFatCwlC6I4Gopgwwxq7twpsuw6Od7/MBb9sP75vKriQFZtyiYkreGlcHOng
GJw/1mDGwYBKilxlo/isHXt5tCfkOfngvBu5SbyPU9ovtr2mgYLWZ5uPZE9VjK5nnqAnujZLL8OY
6aBBsEw73rDMM2Yj37EQ5EB2+fFixrf0dL+aLv9aVMW+um41vhr9iIhuSG4LNTeR3HJl21mjlb6T
doLJYdPR56ldcdOva30AOYPIoq/ii6YXB5lHua+YdhNCoqmv7N4JqWPeNTworeFs3vL2VVndQ03M
3RMeGrHT3BRBhLvm6bmS8lebO9+czuSVkVkSAHEantNMu7Ew/u8bt1sCJNppGDUWFwR0rUDqBrtK
U4e/htBCB7VupIg2zPacMVHwCtkv51KgpZxqbca62X4j/9b8YS5S7b6BVPPIAdmTGMH0BfeBnBJk
RlUMWJ1cci6vXqneWaYYN7G1mDs0ZOmLOnXGAjGhQL6qiMV4LBND+4KoZn0xPktQI8mYqLwE1QdT
0XAdeM11l8NyxZBGATyebJz7mPLVoDIYMNCobC1/1Q14GvD+l1QefsLWNma4G2mACW86IOm7vBzj
R1ehECVTrXD9shpfOnc9Wvr0C46thcveXoMSYG44RPFGp69RGM0mUVMCPUYnTmYmyDFkHRwUNYuK
WQwfWBCkr68NuuImMgKzqCMSRlvuv7w+JIK0uCVqWAQT53cwII17SZeNp0qdwqgzbrMkM55TYXX7
oiGQK01KckSYkvo5CtNlZfI7tt21Y06+V7WvoUgomACih1kZPaMzKb0ClWmkCEYXSdMwSu3IEMvI
dbKWKrTb4sCsllSHjikRZF3Nr4nI9VMxojFh6I4iFKgG21pUWISPrXnyQf7tGcuTu1MdXuLSbZ7n
uqqZWqJkMtPyZrLSJcg0hxSNmdKQcAs4BbHdcCcW9bGuxdWFLr8n+fO7qIZnsPrmnWKxIC/pU3Rp
LkiqgYt1jQwasaB9aRiyKt087piV6C+MtbFiFWX5PMsegpqecdUtzG8yrWNVUQOHTyAqe3pWg9Yr
12ciDIlEgGvip3WUks2mBdpsr8Td8pSz0Ga0KBjizU70bGvFuU0GcdsJV/pDW/2h+O2ZaPWhlq21
nyhsH2YxknXSJ7u1GMrnTmRpUIgh3rWickOB/J6i2zGJFM4KDBocLsuUlztXJfvTcqIvte9i4tZm
a58Q+vjQLmShuL2l+fCSqHq0xr0DpHBbzctwq6tE1Nft5K8Y9pHFqcst2syTAr+GjX8NZ2AcYcO7
9nQG+/yrpt8oNOVdd9bPuLH2ttaDtJBcw3qWg9ZfjyCqxnBVlH2R/FGcFnWS1ass2LPm0ObdfZsa
N2hKOR6T1mGul6q7pqG9JU3D2Bty3Os1SAYjy24cpB3UCepJzZ1n004Mz0jXz9kevqMhRrqU8/zU
xsMgL3YdEbK7So92Kv5QsC0RpVMcZboyqTPs8+o6bw4hqp3r1vucy9HTY6e5jSK2JkqlorwWzUM2
UZ0pfab6clh7RMpOrN7mEUI9rIH3g9UiE8zRAXMlZBG/LjdBCxW/SXaL4/THjif4Y+mS30Y+8YxE
bCSAm/QIHsR/sHcmy3Eja5Z+l143ZBgck1lXL2IORpAMDqJEbWAUJWGeHHAAjqfvD6HMyuFW3qxr
Vr3ottpkplIcY3D/h3O+U/TDKnHL16LOynqbplZ5x5WFWWGqHQBWXS19cBSyehh7G7mcMbVoKL2c
9DcjJmrOlmayrvO+ebVHi5yOcXBpcpr246gCFjewN45U1TmD4qTai7ASOzxO8QlKmLeTlXrWciZS
qQ7vQywulyo1rB9u2qnTnKTeDepWebALvchPiA9zRyGfRUVSayDtN3r47JbBKQ1+bLLjiwdk3HV8
diYmvWiT3FuYkViM5omBMQaXDeq1ejf4wtj1MMQ2Mo0pACpCH5CbbmLQYqgnAfamXY/tkiExMlTz
PhaKfKEmc7asV6N7j5ygg1/or0EJh7O0fVJ7Ch4xitrbShUV0B19RMKGSnEc7vDoLOaqhCSaPPwC
lyDdtIFP8EuZkMrTkDopqCs3Y86X78JxrXjvxN5EuUfXvxM2+bD9ZK+BqGagxliEUTce/bKChFSU
w47jyt1ymmueerfakrS5z5LmnmYqeFSZIfa0wkxcnCl7HfIwpJJmWX3LVc0tNNIt3OkuPFVdFbBa
zICORL67why9NmBesqCy25Ov0Zp6hK4culxYa8nSeUWUiHki8LEnddr50c7qVhODsFp6C3tO7yxO
9+00x+UlkzyN5KNjZsjtrVUU49ogVmLloVnb5G1gnEaRsTgi3SSvy9vY81/QD3Ss3ax2PTW8/NGi
7yrL3Mcj8w7AQvQybqJ3KkcQagQMgdO0/z7XDVEi/a1eSEp4PkBcOoQCtfRZtoO+HxPiamRDD6iS
cY3TrQkX4lR2zeiQ1AWBUHnjUrTom5F36pq1GHESqueMdC25oQD8OvjZ19R3j4FoL1Nfk97baRtL
GDHgTf/SREO1E2ra0mrxSgbzue4H5Nq8G8y72VL2HtsSY5SZSxfo41E21iPuVMbaaouyIF+3rVWF
NDpz9akVBmOTcRwJSi+sZ87OR1vHmt8I2VPujXRewbiOJe1gb5gsVpqVYiKwsaJ0vEkC9HiuqL7i
Og0fstjgiQzcPRu9ZEPkyPwxsMSFdXa/mRrL3jidues7l7WJxOy7plA2Nl7h6xUNTvZcRsn3wGrv
utk+5YH35lg2WMy33kI43Qc/5KAb2txUbysLuXhXhps2q9ZW1mSbuR1+ND1EGRY0X5LWSLbtwv4k
WXid2xCcCqgwK39GYr+pKmYBzL8pW7LoS1ZnF5lwQK87Jb2JnB+BD0yhuDao6ZGXxShUx4GmfGi1
5IO4yUm8QnZlNu226qZKbpLeX42td2ITeZKmu/Yy5uxqygu1Y4oDgr9Q7gpXlt9yQ+tWnVFOy73o
7CJcASZC5lu0EFA51Yi87CzpophN2oRQHyry/tkQXklGKxIQvZPkoMq1A2O3PuEa4F1YtrZKd5kI
LWTXJLFrN2qYOShDm2dFBt7XLp/8vD9HFmGeUq2uQ+j/6nn9/nu9qJO6/7V84XeKC865pP/ff/xj
9/PP8fd6ETX94Q/bqk97/aC+S/34vVMFn/rT2r585H/2L3+RSf3NJN5xnSWW7q8n8QwAyYpL/zCI
/+WTfsXuuR9sZrCOZ5PAgEt4mez/KrFyPngLCGKhU7CfAsD374N4h/E9FfFfSKz4aiC2fbgZtm17
/5LEyrecP87hadXI9PZ9viQ/xSLl/uMcPhi8uq51bB2CQFcFuLk6WEtcz4x7dXtOR0LMq+iLrgKX
5W8QJx9NhWIcLHxNJRyTBFzT7oVywIzoR1ZEOJ4bXBINxZPcnOK5rhbgNVCOI5LbZ1x9U4A9rH0z
nQZUJXegjD920qhersl9TTlC8x1sQ35zl7i+OonDM7ZC960yW3DHk00EmdN4fBDY//Cl92rjO6/p
6WPuENL+ffHs+9lN2onxLqn9rWTGFcRTdgKr2wCMG6IKHoWIFwGpQZWpemifVBfYTFGU0wLMSTVs
2XKxsWwp+LoybcUG/Mx0Z8mp2Mg8Cb4UOS7EU9cPAQ8L2pKDBab6TPOo1ir3Fqao7dTbKBgZPVmt
KVZRx0a3nKtTvGSIucEsNq4U+WeZddXWtSKxMfxlZxg54wvVtH4sKfLio+hUuq+bsrlE2AL9PctR
cYRGarz2HWZWGrrpY4KFFp1Hxty6nYfWf2m6FP2O703Eos2EIHNqZZHZ7qJrcpk/i96+p8gk9cAA
A/EsWxjHCn4pGphibF6vVHuP7PXnn4FlP+PDkiXuLcxdyNqaKuv5J32/4C4kbsG5ynlrUkw6x+Gc
9fsOAjm8BkLaAnfgTgiSkPABQ7aAj68Yeovt7YI8hUj/kwNOqyuJYlQVH6eTcrlHHJ3752YJBAJA
CKgZjHb0kqEtIdhGedjYBoHAtkhiCN0x/d/LzyTAqgcCbykDqrEMUALy0hSEHxLwHa84ylP8fTXU
/akPnaOT9O5bMxVth+lmSbOnBUMnXmm+/zVMxCaRDbQzQ+iOGp8HBUolAZH9At0mc0LzA4xAmmGU
xxmJB4iBgbGPC2kduxcRg66GD4lYibXCJvAB6N1FAwHKu66PzPjYN0saS1xn/bcsq411ms/8WdBK
pXiCWkDaRZYBOqcfHBiZgh/jL0RQ8eWZgfHfwdwTgTdfY/jkOPF/rjR0rgg0PVOCynruqIs9LoC1
MBp+iQjlw4Wm2ztfvyMzd8Djg+EBzy4sXpvtYPP44vSOXkaZw7lmYAizW4w25GopLfFmag0PW8Rg
/T1TNq8tvDQ2NS56rDjNXPEQZ9B5c9zy9TF1Utkt4hXyQFo75evHDtr5vS4DohOgZXxiJ6CNl+tP
iZpBxQe42GnFnYbPAn6VBxTfAHN6F0rGq6si79jkdx5EGXxWA0D1fmSUtwPhvkR/msvjEyxbmbte
h2Q7el190oA0IfDrlMI6CGNg4ly46T6vDV4QIak8+5+sdoa5KMoIO9S7tG2KHzPCIgpHz+B7YXFF
Lha7RlDuawXE/uRbbBUZprN4Xy7UcdOH9nzoZg8t3BhMlwFI46vDK83BlKgsFjlJhZ84FIxo+0Ct
68YN9Mq1DVr6zu7CrQJU4aw1e7Y7fCLRKQt1+IKB1Es2bHmtxyzRPYMe2TWvvVBdtPMze3pirOfs
6czK3Ux9tDaH2H1Qad+9Z8u+FOkFb4siLKanwKMYw3bHC9tG08AvwwNw9kxh8NuVOczSuSYuat2P
smA+EpIcteYhg6M8ha7PrC/039smI1XVwgW8VLcjTAHk9+IYx5k4EmfC46uXBCoJu+PsqbZGgm6X
OE4wG2zFQLDy1ugd1nEt1ceqlKJhZohzimz4hIx3boyHymqqx2KAqsd4u0Di5ucJqySgCztjlPq7
8EvnJpJ9esiGwPpWuP78EsRwPnbEXbGvkl763Wmn8Vm5roZIWOGLzwryCFPjo8wM+ZLYAoYEwD+K
wDAgkNWi52KnV5ytCd9gAfmCmUpJUQmV8HtKCAHvgBHlD34nnyEteg7B6jkifzxHq9rTw7RrFNQs
PGeZ37KQcxndjSzyWCXZHnCwGRB83BKuIMvvrsu6b0vq+FAQqtfqm6qfgrtiNB5RLiHCMl3cRPgA
BsQ0Rc5p/oC7PTlieNz3bKaRATsDVX+OEVdVmLAMFV2gPnCaaB++ktGoR6uqPjsxEul1H3ZzvB9U
6pybvDLtjxFxpy8M/uQTQuFLwvj+UdtA7ce4gzwLgPiJ1VyyKtTUB/ctwvMDUVjN1owT83Nsj0ii
ouB5jm3vk6L72NeTW8s9sQZ1yPuDfdlhkNPyxh8PLHooeRv70nVxDeukSdxtYSbmGTgMTIEIq81D
l9Qo/my2qkUmrRVmLckaBO1hswU0WZkbRFQjjs+pLBAGKDfDeK5UedBtUZDGYsGmGJy2JjPe7J/t
Kg9eU7B7KI1TWmaVCYVpBJf3gFcKBZCTfZm43k8j/te73ja/gA1pb5sOGvfKGqfGAxcZ9We4odlm
QBL/pENDnPSUWQ/skfsfg5jkF03eQPs29WYxPKSejOJTL5krxHiu100rPyNBjR6SxIo2uZfTQQfW
dB56kj6LjpLG9wBjdo5xL2XvbTvbifUK4ff3As/luSXTfhu52n7IUuz1QepFm7hMvEvYhO79pEZ2
qHmVlExUmDrf+UYEVYidbLVJlGk8CFA78DsUK2aMxEj2vOmmwa7yJVW9WLt18xGGg3mDEeul50rc
JiQpbBjlvFp2jDMz686GdsXncYxRh/s5rQ2xqhbmuySBUiPieyeo1a3y5SFQIztgH79+YloqIoq1
mcR5TJBKDfDs1nYiULDSNqqey8+4oy2xYWck55I1K4MU61OUCR+5K1HYkixi/Cd9TnNYIO9kTM1Z
2IhtMrEHQTCPtj0WZMtWHlf4DlIjsmk2J85DEAvvgne7f6olcz+8vEPN75P04C6mneH3wy1oIBd9
SPzRM1vrVCGy21jO1Kxhcbi7sC/Lp5RlBR06MSQkfVrpZrLZfm8bczJWqvdc4BMdqlJWp84ud0z9
bMKXPmnE2Z/Yt3BAeXF9ywk0HFJoALixyvDB6c1h32Cm54+2aE5OObePjLaKYY0wdtxiYYJrmjCk
v1EIMB/SFAWVjLwjYOTgXOex/mh2ReQhVlMviUo+o8yI1q5rBRQU0xB/HPDQr/xuYmLWdg5usnI6
TGZsY95Pgp2nPJ6HXmZoj8vSDOc1pBwUrDpPXN4JZZ9DRsJ/Lwg9pPBK0G22xEPsm1EE7GT4xYdm
kk9RVvu7bmqjbMt1OB7Y6DI1KqB0BBGTCZTRj0gXoHFJqAsb3FXdiT2jwHeeaHUCyoIiwLYnZ8fn
TEAcpiRAJegO37JWeT+CIhm3ae5hUGS1XLyj9mwPISq4bbGUVqAn0fYPiFxmwfBqXZSZt02Nttni
g8a5pAJ1Oy7Tg0gX/YIIXhbzPiOCrBzu5i5onI/cb/ktabAOavwS9/ol60ErdLlbP6pyir3HgvUC
id9kca8G1OOroBrF19yyzXgXehXS/8FcKAwk+NzHXLKwwKdzlXfdVl9tAxkZVw8dZcCtXTSsiivt
xPCyhwqzweI7YG+NyR8nwhyNWYMUO9kR9KTPbue6d22VsLUM29bYqNpVN0zL+9NktSCZr34Ht++e
k7G8YWhyaoJ52qC3aTF91CAHOC336GrljTW40V7GwQuF2rjzO6yRvhQP2dV04Q55TnLyVMbFDfFj
5Hak4TxrBq2LYaMuKnYipY1aBhdD83XKS8wdHHmsPJsK2gERyzwgTjSfczzJ5bvG0XyBHTHfMyCS
6TZuUld9DfrmmQlllSNpSJWI7H1pcLgdI4bqCAL9x9oqPjVOMSUnFoZ+RHKz+daPYQMSgUIOVXer
jjlCYZ7nTOfsULOExZwtoD+nJf8lx5Uk8fRCYDAJOtCDpVGs3Wb8NCc484Ujg9i/xHbTXrj9jggJ
SmM8/K6T/w88Pv8ATzN91xM07UQ2mvTpf8JGsqWwI2bz9QE7L8W9m2Y0sspCB3n8599o+UK/txKF
yzcKPYgRtMGO7f3pGwWSYr4l//pQEEnzRp9KrDmyeGo1ngZS3NKANiuuJ+rRmQP39V/97gGMuBBk
rQAaAoTvj/1/Q86Db2qISzJr7GeP0d8mbVNNKUG0LBYivqvX+9SDxogR+OfI6C9Rg9afwtbg5/0k
x7HX8lEc/vl3R/xmRHUk6wMWAb46W3Albv28tZ+rrKODwmXGLz8IjZosbihXTGb29ABV7BeHWEzW
8z9/NJbf9o/PheMGwHkXzaQlxJ9/HsTEStsxzYwvpTiODuMHN03s51n73bdQWn8bJvkP6DxCE60A
5qqzcCXtK2bu/e0xZfv6b//D+p8IkjU2s64+VMjBz31Cv8Zsj5eB0cPYsmv1nhSmEHfxEChmt9Jz
Ir3uLCMpbzM3I4H8GmHrtbh/obkN1l3JJq+5AdQbvgxJH4JOZ5C+EnMVUauXXvcNHa8TMsUR/fxk
ewbJQe2Uy0OqFL0FEou32h3G/qmzQrfbzRCV0I1UUBvFF6R+bPWjYKJLjwlGosGLaUBzronn0nea
17HQ3bdlkPyDCKfqyQlj2ri+7fh4zzabVxPRGG4rGmJjuTBNumrLiB5moyPkOyRMqdsHRD4cNB8o
70XdEIIlScKath05t6/XAUjptdZP9OR/9eDyNn2XdVf/6P84qryOH3+bY/4/NN5cpP28If96vHnC
RfDW/V5l/Mun/DLcBIXtBsBs8UG6i1XUwiX5y3DTMu0PpitsZMZLVCqa0X8fbgqkvr/5RUOOALal
YI4Bbot/iYqNIviPb9/lAIPJGPDudWGI/gPwkhFjUGTx5J1Km2X+mvwSi2wza9Qjokjohj3lkz1H
CphN6dTRHdNJy11LsvCgCMy9I6ynom4XfGjXebQkW2OmoIkOQaQsD9/f4PKSZRDZ3OUJh4e/4y2H
8OKupwFFxKtJTRNr0RleH7PbQLt7HkTbvefxCHEp9aO1ZRs+Bk+AYwVya+IzgB/CTiNuJ5hn6zwD
rYM4F1qMO1dErWaMNSzJgriarMJdZx0empUvKTgPBZ7N9oLZNH+SbRS+woxw6KO7Vi1rsiFrkJNI
stJqHX6GRSlqvgUBhdsJP2e6p+wyKwwXtMhOnQb3eVt5SED8cWOE9fglHViMzW7v72qFtx1ABB6C
bLCRjdZOYgC6xFizz+eyOGYIHr54ndt+tjvHJkSiTsP3Ogzei0nfBabMQDPmpT7yj+h2UJ5zn7qp
eWBOa237zFmSPcySj3HC9kGBIBjXjJhMUDQkFq1E4y8CMVVTFIrIo4qxXMRexlxelKW6lwn4+NFG
5bufUTA+hPgAQXExylnplL6eKDMjPSRFln7j9eA+ZPkwEKiHnew+KcFTTa4nD10NyWDEiPaczH66
nwNVX+pZ+OthgnWyFkFv3wp3sD8ZNXplZKa2c1+LhTUDhmENJssni8aaT6wH9QBxSqitZVdqayQD
2yIjmnArE4ZSiGyql+53/mLoEnZOWhAZkbbzEeXS/I6jyj9i/G2eZlNHd8po63NtxKrcgyvS9ICz
N1jWbhoY4LKi+/XffY7rMrk1XLsBgZqapZ+2TPHQpcubDFjNWN2UUTcW9cZHxJuFO1sajwHyhRGC
HpONEZUgwYLm+/WY+O8T9W8WRsyR/8660XH0yfT3Z+ovn/Sbc4PtSih8e0kd+M2QH7of/CVSgFOF
//mrYcP84CEe9BYjhWMv2U2/P1rNBcrr8wEmJQ2LnV8XZb8Uv+zY/rJQc/+czwRj28eYYrKpQshC
mvGfqlRpedTsbZzczK6JLKko4DX3WJIim42tJ4ZXMy79O8OlzYJwWt0tFotVG1AbrKtQZVvLT82n
jNG53kp7yu8hiWY5Q+0K+bYv91OYOjd9pWBmkWDQbtyAEJVVHYUC1UCOMEwnbnJiel6fzRhvyaq2
i3OTyPzi106wp91N9pEfYfnLC8ReUH2iTcc6Zj+niTziJfFumVuxmwetb6wdRVrqiqGEffInzjuo
XRqgqB/F4OHVsM+MRWpS1dFj3Qq4AqDGp6MCq5XP9Rs60uB2ziEPsjAI+i0fEG/HZUJH6Jt3P7Li
IsHUC3FKgUYxjwglxSGXtvE+1rL94S/GKvx0AfElpfweT3bUrpPFeJUmjdr3jiMfBQusmwx6JbyU
PAPcBpDte2bWSBpdKi7GbQ7COx17d7FZxaeumY336mr0spqa0M25rY46bT8P4dQ+ZqPt7VlcDR+T
pu+fwrCf0KQZs/wqItidrJFxCSsXkZLnMb1H+xwSmh1UxJoTTruyQUwdEzfMfaRelnxrSWVVa1uM
nzzbQ4agquIrrK7+EM5pv7Mws73PpirOqSnvjTl2b3LZU5BG83xqIkYhlet3O38KCJ9iYIu8zNTK
ljyfcf4ZmST7Mx4lxVejpdxxpxQnOhRgmnXp8YtOIaoMK1JnK3WNQ+aayZ5RxbJnFMmnvE9x0Y9V
47DAmZgwlp6bWShHXRM6AECkbsW1kONxEMyzRDh3a1Wbi7fVGqJdMrM/KGL2B+uxg4XDhWoBBcPQ
+iNFUY7WaFpiu/H247vMkuqSeu60EujHzrGs4UzOGm6rDMrbpjeys80MXrOnGBEyMyBB2MAkLn6J
/Nn2VqGKxVdG1QIEbOMiFCu42OvGLA9zAzuYhl4g3Akq624u3fAhjnCz45HcNgnYSegOG0+6d1D4
hvfKd/Kjyb2PnxKXx2bolEbcmUynecYesMvCvmKGnkWfjRJazA1jwzbbQjiwviEc74jtMkf1OOAA
j7aDzq3XPiwiVEBVqx4sVbXQ3Ex7HTY48XPUwWicdK8fu9EvgoNAzcUcKAjrQ2rrjn2KM7Hu7JNk
sXdbzguAgeTUmon4ikKMggMgBjQeX87FoYmr4Evmm/4t9AhtHgnmDZ9nuhXE3riTMFEhbi82TdzV
u4DtyRvxseFHvCJfDXNsNl4jnVtLefq720jGRR2pjRVL16j6nMVoUtaFzJBiIKKWr7gpQS5idGqO
QVT3G5TQmLR65vHnhJJmg1jkgbh4wrLalPczsg22H4EU24Bs4zUXM433oDo0xk26EVgmtvPYtzc0
Vv4NvZu/pvJCBy+xQrAfUpxoaGf9NQBKBjbAEB7twXD3dWrC5zDCPmIf4kvz1c4TdrSCw3SgOdJr
lqRptid9ojjG2mnvUE+ToQyWun8Eoyh4YP0y+8Smo9XIfNilcJhF6hjFEz6FwBibL4OvG7ZYhJUf
WjOMwbyaursX7Nffa9fHHdJZ2XBh9WBwuMxJuGILxhSMyMBhh0W7/eJRKX9vGdG9alFZt04HRH/b
j8SlrRyWmdE6jJz2PtFhlG8CuylRtI7RMbENksEss3kiD6zZBHk4svwniLIs8nbjVf6NaHS/Gaqq
eAgTwjeGGIt4BhVkW1ui3U9m+RxXrtp3ciSkmiqcrRjKAB9Uia5wuQzetjWn+dvsDFO5HSyv3RA4
V2JwWGqswgyI3DKtYlAnUYBxBqEixyb9RGYBgjjtCxhknwPNWN5G2etYff8Z7HqX3UdTZFBmZ969
lbGWhXstH72yMB89y48vHIvT3g/y+UiQ2QvCpuqxDQOUbVYX2SuI0MuS1GPhYuASW1Vkzd2wxcpf
gspbpGMjb6sgbaqLqRhCEr3S7roYMGSf5oJIcJQJiDLRzGPIYgvBbbeeSp3eKTtUqNf9NkMhVeLp
DU1+XC83YO8xLVh1pH0v1mlUynQGHt5jfnz8XDZoiSpC9jf30ZNgqHQkxm18ZvcbkAw9IKdylkKy
utaU/VJe6qXQBPRCybkUnySTme84OebjqKXLhrxVu2kpV/Nr5Tq3hPnEVqHRF+GXx9sC97wHvEz0
HOeRWkpgu58pYoHCrMsxu7SFkit3KZeja+VMrkT0CPt7sbnYuHDquF5XS6Gtl5I7Xorv5fF8lktB
HmazPHBc+HuqeeM+v1butj3ixQzn5FtEO8XkHTnfSrYTHn/X7PWNXpoAOyd6iPVpeByWFkFGdXkZ
lraB9xMdBKIDiTph6Su6a48xX9uNa+ehliZkvPYjbKTCNb2vtU2WdgUWrIBRSQsz++F07LgYiX+2
x7uKTsdcWh7r2v0w5G0/p0tLZJITd+yWNqm6dkzptXtKrp0UsWnu2jFNH1BOliPvoAShIwOq3Vve
q700ZPbSmvXJcmiO145tRk4yb6W07fqpoqdL7SrmxE4YDp7aa9dnVgHQ0KEcw9d0aQtdVF7txbt2
i44ftvhpPA86eJmhSjnbHgJg3AbXVhN6BH0nFz+PfL20o5K+dEKxpHfO0qw2oeevk4qM2jVc6YfZ
sjHN9dCcy4PqjeSz2zhu+kayWlWt2Sqa7laOWCHxcXiLbu3WsqZpwBgX56mpbnjJ2uAX/aHy4LO1
0YzEw5s+4fOr3rNhsl9CTKTPQG6am7ZNn9vK19vSacuj33bN2lcDu+x6SZwlzTBSP0SavGW99+qr
UX11asCoKyEx9nauevVDIzsgpCourVVsR1EaZ54cJCmyyY8VMfI/nNllndM3bY7wEftGimchLQ4S
xPuD446k0eH9QMvcSFwsz4GnAATMNvy/mXqHPnh0S+P/jpDu/7951KKQ+2fzqGP17R9i235+zq/N
k/jghwxwfcFAiZHqb+1TEHwwmXKTO01YB+b3pbP6tYmyPvgu5y9DfpeREoq435oon6aLfCE+DazZ
1RD/p6bpnzVRQvw5WgdRvrXM2kN3mfPbf6aGKbtL0jmZWJQQtblxWGa/wQOCj6GurIzkys3QC0Kj
UwY0jTwmcM1bEBvzlbZhWYA3ogXB4SurvJ+jqULVvRA64jDHIsZnlSAwQHiU1Vx9Kd3IOZpMAe/l
lfWRDRRN3HIBBNIrDaQLC2+fesGTL/PiUU5quDeHt3KBiCQLTqRnFfZKqieMkXkoqnmfm8301l0p
JClz6hkyyEInma6kEudKLWkWgAk+DSAdjiwXWYgtGUPZOiXie0GhgJFWxG9gL4UFxYYDMRww7S1U
e3TzkvxMMNdB5uzbMEGYi6YkOTtXsgpFFZQVjHEebtMFvtJ0TfMKp2S+o7fDfb9AWuKwG9/h4wBu
6VMCEYYg1ieI2e2DbrL4zU5sVNsZgypoVzvqwGbtIYpak8czYtOe6gvKszoE3TItU6Ry9PEzpvld
4JTTA+f2jH2g30AoPnJes3tmtbceKi46Vt37ESLtxWo7kDUZ8Jqpw1XmTGVw8Vyrga+S9U+OHkmB
hUuyFaN2DtHcWGDeQbLduD11f6aBmaPXpj6aF5rOgNJsCb9YIDvpwtsJrugdaejiBXaTelILnydT
FvZvtVB70oXf0y8kn2Zh+iyc8fM4U4/0Veqt6lljwprY7s2xpT4VuW5aaFilZAAm2xOc1OEHy1j4
QbFeWEIAnpL7QVTFtmnDKttUY4isHbHIcFsYbIJX4UImahdGUczK2N3HaVmXKzsbuy9ZVhTFmgy7
lh6ndeJLFYSVdWAbkz6inHI+2aRaPISzy3djqCufLBT3O3gi4mTZC0YpWYhKOMEg6GswS/bCWxoX
8hJ4kmLtldn0alTkjXJfh99HOfpy513BTcBPgDiNC8+J2g60E4aK2qAvcLwL5l0WkAPUmWqFRCZ/
F1c8lErsfIvop9yELvSoduFI8TzmHwHwJxd/yrrbbuFN+Vf0lLVQqJKoQrjp6bjc8HKtnwMHXhWs
FdBVBuvbs1XH4rYdQG+DBS4b4Cx+nZInW/Iu/zxVViYwAcRkTPHwTOQqNTchdh/+VVdW3JPyFQ46
8x67OpzM4lyZ5oT/3u6MHiTFyAQ7GmYzesQY6+gbZiPgHEbvYgVZjmkLxA8WwXilhQzB5vDu2XbE
B71GUahB4KJC3Pj0vx1mYJsiDKjgk1IusQ8aBtMavxITiQr7AJby6dy7XrIXLYkXrKEXXIGGpIO+
cRs4qmJ47ujHqJtAp6XDUHycotEpEYD1Znbx024uwo1owBs9iZmEQVmgcq9cvM2tcRiVfBE0Gw9G
HpBzi9RiPNJh3gxx5d1Sl8o9mgV7U0wL6EiV+qGtA/uosqJdEUURHwPdFQ8jTeljAc8HmnuW7iIn
LLZ+wxPpoCJh9pmuLLJvS6YmqkTfBA0SbsdNM6Z8Jcdo98qP2m2Y2q9elLgrN6M1ymBCtVjhrABr
g+MZCxusEy9oW4AkdbJeWzwsOz8MuvvUFK8hgujNODvhth4H4xZPLLEfCxtJK7KMYVrBtkWHn+tv
shuAYvAYRr0J0doGQW8Bjtwh4v04OUm1QvT2EvjaP5ZB8+7yjG2n1H40NduJCPBw7Mh7b8yyS99W
n8k0Qg+jT36qzV1p1k9DinynnPx+PZogLcwRCxh+3SHH+NUEB+B4+VqjyYY10rVY3BPvtk2t7kY6
SNmyCJNzGGAwcwaxsTqdtyuB4mDjh3lyI2NfkAY6NvNrAlTplpmI2HnEAtu8jE4ezzZTOUlTRJbD
I+PBem+4lbEXmsTmXtfzHb0jtvauprMLUrd5aDVkMgfRHHnTaV885MY03nuh/ObXCUqlNLZOcxm2
W6ND3YjpZkJcPVStAbaal9+zb2Lhg21T43B07e2cduUGFq6+K6Y5WunBkh/nPEYo5oruzg7TB1ca
LW+JnA3JMHR3pcRlJMuifBqKKHpw7UisxBJ56cKzpO8aTmEEmiy3neStmKK3BIjKg93448WewunE
otJ59NKwelIjgT+94910uKLWk+KlkxnmJ7ejYnQN/kF2Kl2zx09q52CnpqFj/B4yMlATtbWewx2u
1+LHkrnDyHTbqVmdxx4VFQSQTtxxxhhnBCy+Da+9bB9dNAKb1q/yE+pSeATkne3BXCXvokBZy7AA
4JWfq0dehAW9nVlcMjdySWnx/C3efpw6lnnxGS+iUMrksZwd51IwPd4YSmPcGq0v7iDpti0jfypx
Ta3YAdmf+lrQvI6IwXllJODmqAs8dHl+tWPPwuQKx8LeaiQYkMELb9xu1IcqSKej13NFTvnsHY2C
1eLmv7cMV3PL32wZkIks4/e/3tseiyKtuEx+v2X45ZN+LZR9cE74FkgGZFjOUoGv98vmNrQ+uKbr
BYhCfpa8rIh/rZRt/spjYYvsAkEM9qffKmXvAz0gIasoWexrgf2vrBsAVP1xk8vO2EYQgiGFTQjL
iCVJ+fd5tKmXCvIGuuRmatkcwFarl8MZ/llzRaHpCSqaUFn41OQt8JA+ctNobQ4BGNm46+v2IC14
8utgoayxGwS4hrAY+Bo4/OkBLi3+Zws5r/GQL6Q25BMYMIYrwE0jTEdyYnfDGS1/wKojAhjI7bGg
36A/eMwmFiAcwI75OF8xcdVCjCM41pEMp7IJkBzTVFbIUTMg2Dfar2EGcw7p27DpEaFv49lEyJ5A
fOkYfiyqYSsehX0ObWyCXVh6t/+HvTPbjRw5t+6rnBegESSDQfLy5DwplamxpBtCJak4zzOf/ixm
d//u9g807HsDhmHAUCmVmYz4hr3X7pEksQlpH+qZc2ffkHfjDX+HayN8LGYmHgr/5lxB+H5II23A
Sj7kWrCMnMG3FpklfJz+UfGQWEW35Z8v1/qUjztY3e7BmB9VPWABent6gzzMN1ZmkQzz29N9e9IH
EBgbQITGK9o/amazSh51Y7hBi959/HeQQEd3lc1HSDsfJl0O1TDQjUswHzTWfORoI0XnUGjJxbS1
BOhs/2AJ9CTW7bQqBjv4VPMRJufDrJqPNT1Nk1XI1OCBXoVTrw1C/w55iDz3QcapiPu4PWHML3Hy
nb2iSn9BwXI3XSxZpluhgznRrh/Iv/i0PC/HmKh7SzUfxGo+kgNrenUlFlDw0Kh2E+uAmp9pwnyU
R/Ohbs7HO9Oh/hLORz5huT+j+RKwcsW41R+OibDAM8xXhZovjUoVEP7yIX0kwj5dZnHCfTNfM/Px
ChMlvlZJ1Jw1ECuY38P6OZ4vKOx+w3mcLy0EmThTLV4pF6C/Ep3nP02OzT2XOJj5lhH6av7ZKCLQ
pCj0o8lE6DCK9ovyuwfPJ5MrYxSiNGiniEiZr1aHjTDhsPN9W/jTdJaU0Muo6DSatyHfTrcr2uAb
bc/XthFLlM74Gpmnw6nga3+X49V86/BxhSj25/CYKNCpKWPKLnMuDpiU9Nt2Lhg0IJ90zvWBiMY7
7tW5qpgLDOq0aOkQGbCDhEz9UfMdJOyIoqT1tGappuZFI2UrqMFgzdWLZx8lq6pFTVkz9m10CSh0
NAoefa583EQ+MLFK1hlFUc2cbA+h8WW81UtG/Z7aVbKJb8VUGhpHS/bJMps/qfGL1KUCHzEVGAXo
q2xnchmz610x12k9jfoaYbS/iijiOAzreybaCKrmCi+JfWs/zlUfVDrqv8iuV6lXCfpdg8dKO9hz
tehRNkIdAp3KcH2b2KWxj+rDRInZzLVmiWVjzMJzNlehknJUqyRQ2iFK1z3z6U38e9VKSeCZyRWF
gr/v5up2ZLu4Z4wwXNO59s3mKriY6+EJasGdpETGWNTvq1Eyh6dD6a+9bF5afdR2WjkCkJF6kFEO
5KwRxSPIGEkVXuqVEV3ImaA873OLGsj5mZcQjpWa3KfIHIuNREm/AMrhXaDKhvdWUH9kEkAw4E+E
mgDOVNFZaL8xp77XFX8yEZjFCnKVcWTSnm6EYfGVFj5dd4pCPxmD5DJy7C4CNmeLJK9ywgyy8X1q
4SF1Hudz1/IdDMdhfHfHgYYlDUX5WFbDYyYUoDsnS+9zgM/uonOTtrj4lqfvzaIP6m1hSHBTiUWj
CO823xdx5wFFzppklReZ+0Am5K8iF7iVDeDkfeAkLdY7HXkE6hwM5ypLcVvLMG0HAnBwGLRwPRVT
9imYNgCOUjbO5JhJkCE9RKMXgg5IQN2NXdYc0kwELXeLVn7GWpTDMkDOLdZwGwx1H1eo5SHRD84O
ik00nQZZqevAhf1IDAKPSIzG0t1XTWf9qPWwOgQTEZlERZjWz4Zvf7jU5z37EmWcDbBWFfZDmcy8
LWQa1SE3hHMoR29mCEQZ2J+yYdNr+vdB0iaPjhZBhYAHZG+D2OOL60598FY4sl53hkx3OlbcDxSv
gtbIqSLSvMZGnmgr9HABcnRedPUt9N4CVE9vzmgLc5i0a8HR/iuLpegXpjT6O/zl9WUcjJL2QI0D
hF1Yxf4islp4tRKY7atgT/RRViJ84072mWGn7V1tTum911nuLzEE5PKBMzAfNFjDr1qcTOdU2Htb
V8l3mprqy8pci1FsYILIaK2O+YIrQwLOuj383XRZUz+MqzFh27ogezZkBhIFzkuL5fmUqDr50iIB
YiVtDeghChLT1SuleuEecdcFcIBNO46Gtsxtu0CUFeuBv6/CYfiMw9CVHEYY4Nw46y6DDS9yAR9J
u4SRqsnDMNPqLRq9+Gwmhe/zLW7YYBhuOu3dtoy/ZFPGD0WfPeL6YCkWorvcxzpKVj0OeFiLvCnv
p9KEHFbf1mrGbcU2Yl65K2iF36x5A+fNuziyyLsNYdJutdCIEHNxgLO3q+YNHit0lnnmvNeT84Zv
rNgFLMx579feVoD2vA10b4tBXCktKfDzujC6rQ7deYsIHomFIoCQ5iG6rRm1gY2jmnePPHOsIZmJ
sZIc5+0kr9xdm/PG0rstLxkMsMjU551mO283vXnPWc4bz+y2/MRSGm05nlmJWjqzejM27NM4b0x1
Mg3Y3EoBcIl9ajJvVjEZ4eudt63lvHdlNdSsrSBjGavXBRvoulkhnHdP4NNY2trz/naYN7n1bamb
zvtdYsBY9Ya3tW8LFPpHPBpFtm6ky2KY/JLpW1FA3dHRFSvmsj/lvEkGB5J+5PN22bwtmjniWTqP
twU0MV2ciLe1dDhvqF22VO+dVbG1DggTJafXmrPmzNH8acOtPDbzrtu9rb2d2wq8rLp6gTc43yF2
5X/GJA44u8gMxgcn9soOI3Ogf3RuZyyLzCreffj7V4tgcKjagyHe2ts63p8388VtSe/M+3r3tron
rpQ1PtRC70c47/bpsVnzm/PGv513/91NBjDNigBEufE+8uOLmNrwB3uUs8+qLp81BB1igp7Uh2U2
Nu5VNq44t7PmgDxj8rwsAmLv1axJcOA3bktFYbGwqk7+dG/yBaS5RFLeRA2AQhA46Dexg16D33QT
3z/XDYGwPVLLvRGRVDVJq1lNGAKY+Aq0GzAZWKSk3ziR0FWErbK/FfLfYNHNwotYNdWzj538J7JF
b9PdJBp8msg1ADy1dyzt8V3d5BxE9SLtwEQewWtnUflVCJd1TjX/V6EFCUeL2d/lXhm8Jt6QPIWz
YAS0Pmlrs4ikuulJ9BisU1ylsPKRXQYpmAbnpj7JZiGKc9OkZLM8pXZsncm418P2DkKr8UCNG3TL
s7Yl1vTi0KNwPfEXJidj1sF4syImnbUxaVF2G98l86FMfCKU4um1uOloUOhWH75Z2hcTU8i3Pott
/tsl/3tdMoEFf9sl5/1fwA060TX8wB/aZvEP3bJt2ua/7JFc9Q+cGopYGhvTq4FG75/dsTl3x7pj
S1rneY30zz2SFP8wyZu1HOTQjsTM/x9BG6SJrvrPNgV0zia8NMWOy0X6Z5qIq//cHY9p03SZHToH
UabDUYPxCMPHiB8G04q/QKaxw7/dS3ZicUfFt+vqdnHd7jDPrrULzzU3G8dZd5Fm473EE/3MsZwv
waAJI3+f324pL2NKuixvV6buUTCDX34Zraa/tlUBarAiuxSiW+QkX918+XZl67wQ4B1RFNxu5+Z2
U2fzpc0dtA/ma7ybL/Todrer2z2fzVc++vDkO6MK8BPKgcgdutcG/MIDhQzVQksI/a9mLiHgEN7B
U2FcSnEdsQKm1JCe370OPvRcdEiQtUyTesT1rbJEo2dfCkU8/GoYzZp5mD+wxK90GFuVHH/ZqaZd
8yzqwXh1RKp2hJ/t1a0W8qkyGD3kpjwZQRRHcKcmvMvI3wKSO/1slyivXltoK950TGDD0nRSZ1vP
8wykUCp5HPUguGeuTt3S5v4u7BN/64PbOuAHIb4vHwpzBdtAAdfzMaWToYF9cxw53+hajJa6OWYX
sMpk7n6NusC/iCzJRlY4S12YlgK18+Ly0HrxnEFCBuSCrlgtk3JwjxVaqtvEJFvAhXPOWGhcxuOd
jdjLTsudPwb5LtZEza7OcxrCz1LkzHJSxWOZ9ITC2g71ESLqa+4m5CdrAB3uEeLZYuH4U3QfKmIa
IWba3Y+kJQRIYShxGCrkNmfjNA4DU2/ymQiz8RrMrH20Tuqsus+C+cCH3YmiSKHzlP1AoKSAeXVo
otQMFioY/Av+sl+Y18Z2J5qphP3omPmv3kfauTB7YvIWoZyaz6xiOL/zCCV58doh2ndmVq4nd4zM
fZGp7qPQXVZvfcWVxy27wfaHpCgySWHXc5f15BDqhO41tR+9ED3uDR1OFCfMEyYlNL5bW+/Ch360
cYEa7qgnX3y6Bvr+IK1C3tsBkZ1GlupUjXl4FspOvbNfl+4q1UES6rLp3nqrx9w56gYIaX6HVwP9
SaZHWYOM6DMoB8tGJwly5+Gg3mjIQRd0+mrZYSk/UJjHmzqNifeOsIWPxLIVftwvbMLVMOzJfF2L
IoVyq3sbgOXjAt+rsQ4Ht4X4Y6bE/urocVz9LheoZQegf0K6O8zV1mkq4HKOoqJjEdm4Y9jC+94O
Q5HOTitvlTkodBcyKwV63nxUq7oGZEDz4m7CaGoORlql65CRFg5+tz+1sIpXfZnG29KinVvk2F6P
CknKwYja9GHUM+Llw1xZW1K2mwfNra9TwIMZE0s0OeazrrXAR5z4y6lyuYqUQgEaRvWT1hoJ9vgB
BlyGpiMcLP0RbAqnlpMyZHCp5RcCvtLSi41ggRfSWdLkNIuujS+mzF5cWZF2MvFga7m5ixr/Qaks
WKe5Hi2hc1FqhQJYHFtaZ1dNKoXlq+Z3O++fhAnhSjAr2Nu5nNZGorqtY0TGgyrmujWZCOdAY7K3
LZmulQX4nJiOur1DJSuwU0XDaUwZNZng6LGGQoANYtrxoQjYILaN/YQSoT0WvYL9C5OCM4X5F51M
aHnap5gIleHJ96d7ESveuczHi0E20Hfss8bBmiB3LSaHU69r7sDe1R82njG1yyYTKcpVi7jDMC7P
N9qJXaVzaWN8MNYdybsNOzRd6YSqtWzAk3ci5jHMgmvPmnntTYxrCAxOeLcNM+JBZVXhfoaAEHjP
zY7eORyaAVWzlp1CpgP3eGH7r05Y2rrL4ol1nSHWwimyVSTtdlPVTvqDWRA8IMx749Ln4/8RESJv
WK12tuIhu9chFNDG+eIJt0vyqx5l82brvny0yyG7gmP2SeIoxSYpqPu6qXH2DGuA7Cbs/9eEKicc
ukEIElua+cEJavPDrPlKm2bZn+hP4WTrRb0jB12/r2srXt5UbXXaj4++nipnkWrkazcdQE3BSvNE
zJG3E4EVLYFcx6tcOhyZiX+PkirahZhJLlrc2pAOO8emdzZ9eMMNggIkr9NBJNAOU4QV59BIvOcg
o/depIVVv7MkCePFpHXhyejielcj+SYySR9+pk0bIx8tpiezM2kGvMjG6oKcegYQ1c+l3xuniYLz
REPQ+YtEiYjvWxk8WKrVHw2/MzZTHhUrDE4sExU6rteiLOqLOanhEtQ50hIOpnLHjT58EJSdPJmB
BNLeKn1gCGXGSwFqcRnxrTxYVXNtbrpI/zeRpCjVPPkdWfQhoBxvasp8sKvwVbIxQ2bZ5KrlJopn
AeZ002JmsywTr1S5IrgBrWYxyzadWcDpzVLO6qbqDG4Kz2oWe/p4xrc9+s9+GMotgkV/zZfU2/NR
JitwQMnVnPUWFhrS1teKVTnLSv9bH/9b9TEhjX9XHv9vFf//9r/bz/yxQ3IphS3FyeHK33Y+/9wh
SXwpbIIUQzhrZptRCv++QzLVbYdkgD37fxqtP9yA5j8EqWMWeyc2PjMt7T/ZIfG0/7VKZpXJf0yQ
GLpuWbxSXsSfq2TMVVAYjJb5ZeIAU7W07lxlMFQngooPiV9auwmcMpTjvh+/rLyG1RJLUM4OnteH
PG8FcMNC+yAVQiBSl+6ZYY75pKKIQaVigMimSdpnirEaoGIXPiGjSLYxkKl96iv9PS88B7wJPDKs
iuRU1+XPro4iTqOZNRVGPYOzui3wfhUx9CdoxsbSG2LjEcVmfHCRrh8920y27Uz0HprsjmgjINIJ
cR0aAE8wAHW/z8IUOBamX5pKzbcPqJpIDvKS4T4vHNgOieOextrvCMBTg3EdtNY922Es7vQxFHeM
MLQO5JtZbuh3ki2Vi/9jhlWfWQBf9EG1d56hP2FJY5WiPFTOpcTWI8rC/GVSqDLXG9XSoYYxWKdX
zYU6icHNDAqCHIXWq0rCdmslovjisCk3ZoXZogxhQCHDjZ9LGTHlHbDGbZm8Rzu3bppVL/t0JexR
pzgy2teccfR906ISaUhG/nTHfvwBRdq8AufhoB+j6qzMaLhaijdHGEa4KdnXHcWgyKs02wHZuY+A
tWMKYesxf4ZPaSrjLMHf07NVj2X7Ra41MwRrXJpucURXu5eeBl86TMQiJvWMAZR3l8ZFutccbZ/E
drzyy3x6lV1Vbsuys375LrSimj39sVGy3youk72RBulFn5iXUHlGpI2PhAwSIB1x88sxevHHcA5E
UOk6ClVBTrLqH4uuL59cT4Z3k1Dirq/BvS3aygxfaefqE0Pm5FHmstimZKciUkOlsrPoyICiJqZ5
nRDI3fm+nDajbRPAqRWO/ZCFBaqLrCkx9tdmd1J9KC4uio5D7jezoHeSyedc/Z3Baye7cWjN4zwI
3KaFCt9ax2ZyVAT6OfML65qC6doNwTicBZDWI3pswAH0NveNzOunCBEMKvY62acaQ8fM44R3M8s5
E4JivGWkU96Vvoz3oQ4vCH0Y1Oc0rpNNLwPrPin6oxH0kGRgn+000azbwG8+gpbwDNw8sb42IIN+
lGb/bZVDikeC7SqJpBadqic3tkMc9mhnxosp48+xpwEkGkYab7aTPeWdOb3UNckiE3Chax5QCc7K
Qu1gabUIFiidyVDocPctoc+XH7VXoV7yuS8X0jQpgZjIbrOOH6JPS55hy6fLDt3/WmBrPUY+H2KP
4GqvCABaORJdiW3WzU/mBF21aGL9qckzJlY9gRh9uc0yR0GPZgVJRmQUX01dTx4sL9kppqQH5U3Z
XsYpSJuiRbvDYfkGUDWk2Ew99BZmubLrhvYqG6KHohbye0Jww5SVVJQpGONFVFjxD1tow7OdsZ0s
DDgqfKA0blXAIqlUenGB5g2OWpVHJpXs6lx3Y9F+bbGKijvHcZNtmVxZ0HQ/NK/PGciZ+jUSvrnL
sHLXS7qI7pyJrvo0m5FXwkC3F4O9zYEprUHpt9o6sE3nR2OPiP8KMRH32Ntjvs7AxdxPdR5vySpE
Pj2Olo0iB+DPbGBBxeqNxOxMNcURRhpn5brds49mEaVc7AJ0r/ySY66GB+IWlTj61Dp38CXFWtfR
96H8dxa+P5lrnFH0PFiOlm6V0RBr4WuM5RVHWy3WuYgwV0dx/jNRwXT08sC9WilRvlSIOOMmX2uu
4ax+tO1saWVF/UFc0rCNhOVcRA1HZ1mkpjjPednklacTIDQnUSjUc/fF5dY4TzIIXnEDhad06t5d
5rM7LtEJX1PdnQEqhXyV+uhURypbNqPmntJWVhckWOVdJPryRfPC5Az9osAeU/sbnTD71WSAxrLq
0nyN+9TYKdZF68pz8g0sYeN7sn24OExtP6RZzpdLO8kfqCTDZwCX4MZUGLsbM3L9LQkJMZ5wH36x
7gUXXYdI1LvSWpD+MRCCy1ufsSVfjWNToBk0nCMAURqYIcmDe9OOer5oOnslcJnM1gXcvdE32y3w
mmYfu1PxnLTeNtSLaM3UabrEnSnXRdcxpB3R6UbLVsvkghHMRkGIO+tw4Qit9eP3vjRYZSKaXnQg
Vu7Qug5HbDbFztadAdhZWblvsVLhKs168SPxKkz5dhggqjVWI2O6ywRw+hPlozgUjaNtUoJl7vUw
S/aWJOpLSb++JmPvPPu94210UYrHALklv872cJyNmmIPYFdnvGQ/s3oaacNajv+2Qq+3SAbpbwez
11eTiSsVEebRgqnWNUB2QzYk7W8uAD1ryfRI8ThcHVMQ3hxFkQ+MjkIEiW6ZjEsCHppr6cP8zwMe
aTpCG9vBVFd9xmrDKRHf4kvoZoeCHHqNHEMQdixkLh391a7B0GDNzgbOWlo0YFztzxjjA4SSD4ER
wsYQ4WCMAIkMbnPqC34frolq9k9UGCmM2VFRBLb91BWx8RJHffZJ8PbwijnzzfnNjYEjE3TygVHD
7NQoSkIHmm3ym4uDUivD0wFwEoNHaOSNXIPSDmi0yMVs+6F1LmVTjupHrbxfbcgOeZd0PR+cxkiL
AUc3dUsMsdt2pOrZpkGR32H11fK3ggOU2svtyAXwyO5A4kcAoRZXq7qPjBVFHsIQf8zIJQrtN9Jw
yCDBqxtdvCFIjsCl9OqpRSzubenMkwkhHsZ22JF+Y0VfDopF7dkqvcFa6xihMlxvYZzvSzs0V5km
xm3l5tmmU/VrTWgT80I/WYmRT7Lx5SuxJv1OhQUuJXo1JHXZsCEnjHISBGhYyVPrGg5YGg19Uuxz
y2h2p+2oRZ6ziQDkgDnygRtEewy00D9BAiWaNtPHcxfMWEA+TeQCqJKCsP+QsTseKleRrQiXcasT
QIBbaS63zMloSYkiTDRERO+RMKbGVYfMf+ckpGqAMg+3NRgZ8ALymk7wx6JS8/cToNt9y5r9UKVG
eGiEf1JQ0JfC1gvkywodu2+X762pEkB61kiiegc+uoFHqfkClG+Y5OvekwXjSAYYiKwKpDt8zLtW
kKrQJEa6hWIufhGETBlNPDSDvYULnuNLOZlyXmvRZnb92Uq7jK1nNrBUHMuwTBg1/tcy8/3vNHGI
mI2/XXK8jnnKhOjPSsDff+b3Lk4XElALiVk0cgYNk00X9QfDRdf5v+jE+IL+vgX5Qwho0anRvjlK
2pJqdkZX/97EserAZmODruaME0D/jP+kiZtbtD/xmKBDWUJn/2HphpSS/Mm/tnCQWvB5e2V/btMv
n5FAkPz8U0/7O+jgf0gGvORIP0Aq8Wb97S/4F/xVNZhJWgz8AlJekb6gUHI/wu4cuox5v/7+V91Y
Tn/5Y3RYYqZumKxt6EfFv0RejnoNxCWROuSmZBQzGw64rcCT6DpGXFrvdTT4zmeQM44XW54wMgkB
tlljmB1oc0s//UKv49j+rPsKADZsvcoXW+6H9pv4YidMT20FfEYehSqmfVK7kVc9EREygodnuvw0
ls0mMkLrUDcE30VlDptlpOpgkmOw32TEV6HuMToUT/gUOu4qonLSMogfodD5XbVUMutsNNe5kzZz
/jjaiqw10CQU4fM4JO0x8UrCNidAdP0GjkNipkebM3hlDWo6O3ps9e9aLrAFkjwLq7cxKg4jNl33
GD2LiVQdN9Aeezi+MlubiDCIDFs2cdQM3uyQD+vtf0c//86pgTJ75sD/jYD46yPI/3xm/P4Tf5wZ
88GA24E5HdRNxVL7T2eGTbwsqwv5r6gS9x8CNa8Q1HBMY26K4z+ODJ0jw3KhmJgoOSyoFv/JkcE+
9V+e6flfELys+aaROq3bXw+NWOdbiHpAna1AanufRqk8UgONxlpzdDoONj9GGpvZYRAuW7opLCz3
J3rk7yCfrEdpk/O91HMmPQxJX2NbC49s9EAfJdT5iCq52RAdTbWLaNMEIfugJYaPbsDv+/JZZCWe
cliV83c/dvnKYoqJorNtBG5Jw544m7AOsn3qjYQHURUu03Fe8aUgwufZ2CYIydJdR257jclJQ9eE
kfiUmEVxqluj2Y6qKw+GW/VfKPzfZdo4X/h4BNjx3ObMCIv3Ko3FUlqp2pM18mGSccnf6wRkkwCA
Do7TGAw7UeRywwelnREHekSG2d0mgNOFw7/67VG3i1Yn4cXC6wfUIuwj+I+B8dqNw0m2ZrHSQ7aR
dRiIh7HO8oeGqKZV14hXclDd5wHpzP2QDSYqPfd1GBy17sS49MwuvcpIK3d4LYxzlabVvnVMdNtR
SK/U5f0eq1F452rJh9uwTOK9pukpVHxku+Ruk1zriLCwvf0IfW7DbhSxWBKSoBI5+jcHr1MuHdSb
O9cIv1ugImu3D4cfFrQjGnd22ouycHzMXYnzTvw7CwQ7wmDo5K9pmL4SFBLeZWUxATLtuzev0ay1
aZKrJePQXlrF3K7bPSj2BdE3Fsa+0KXNnwapCEkPiv38jXwuu1ptHOJQoNa0SbyzjbaE5m7bFNF5
Z1NvQqDais6kgCsSNskLFev+g0QidoGsPt17fcB+d5L4y0w63UUoBovfQqCAa9tyiyi+Grk3zPCx
R+Z2stJiPAWjMu9mWthGsSq49FVZbbK6Hj4bRhHY9QQC4DbWSPKua2SOSM31bUord6omL9xB5KxP
jUeaJx1z738FRqItIZtau0BvMjxkbWEf9cJlTRs2tjj3GWnhCpMgFpVsjqQrWa4j1azbF0JsMKYh
BTNg5sbluMQVFq4MP+g2XWAQPamlALdJ3XWPXcrAD9u1xELWlXm1ceEghyUvipFYcaADq5+RcpOt
27Hd+wXgPV87TuLuGF6qU2VpXwoQ0cIMAgiuGrPThVlBoVjMwT9LszALCOnCfQ1BmizQMoOeycJL
6jiktfmW+NlRCG+MUFefxK5Ph2lISQZWXaBAEGgESOlN/8PNpXnRYs9mGknP2DKE8VF49+Mx7zUY
Qw4wkYOjYlRlKaxk8LDGdOE2y9cTZsmlUsOcnmQa+5rBxAPCcWvrJH37YhFUD/s3Cwjn9GJ4bq6P
caYgYNJKXdxOjsufpNg9EcZG1DAqrh71LWku7KW7CDADQ5Kwd6bnbiiHBRNDfRPAa1oF7shH0kjv
LnCy6qJYwuieUz0R/a4eXLPdVZk53fctmli2OAdMDWG/iEhi3UP5gPPbq/wSpYa21pEUk/xcOOMj
07nijj2h8WSAjXkPhV7ieQRv3WK4ZLUdBt4+oxR5HKISSkxOxOhQiLvU1tYiy/urL8vqNJLKs+Tw
FOcageAS0jyys5SM106wLvfNXuynUv/Se0udCwm6iJmFsU/rVi3wp7GXzQojnj/kbWV4wcoLiyfK
hRGjl2E2j5MbjN+pKOAXaPZI1HMqr8ydqC8q2r0VmRRoaUMSkW1scKvQ4yAXxtSQXtIOzxlwzU1Z
ZP5SOZ26w2MJhifnIHLJ/V15sUsMZS6C3YgIeKkNZDpXkpEN+dWWeuMSnHbSdZFt0W+hCwlA+CvZ
/oo8jSRmK8wfaqZty4I5J5YU8eFPqb8GRJAA9uzYKHe1xlYfcdqbMfnNCUMads+8JSCRyZBJ2NXR
SPzmMmUWTOXBmS5Chx1VQ70qMUJ401r6pBKmMg+XhknAWA08ftXagfymWe7WvT180qZ2WDZtElPA
aGF/U5Z2CjRZQhuy+lf0b+FS6sX0oJzeXTWkuTDyDXg2UGesJosINT2MhztkGxoHFu1xb4XyPU7Q
1zl2GZ51jwCzSeT6R5/6csVUD9g4R7rRj8bO6kBU0xt71mMYkkzJJNDZp27yMAl9rxwmki6bRrWO
BdCIRWZY7soOu2sP6PVVG6x0iX4A8y8L6kuU1COJqyxEX4SvyoOLZO7gA7/A5RJ77o5zU8PnK04k
lZsP09Re2CM2C7i6ybHlDVtafPeeotFID14O3VlTTOGAX5zU5Ad719Ee4hGnxUA4grMwTUBgBGQ6
IEZUu/GdJlnXbDaXwvFOUVzE21zVkHcEEtdsIlStL4jc4IEKNm2ah1u/aedcgaRck2mYnnyr4vju
vf4jCAX58p1Qx6mr7U+dIf3Pih3T2aqra22m1uPkyGcx4lqMXa88sTSxUYpr09ZpbXgrqG2e6zRo
D5ZK56S9Zh9ENsGHcZhvu3aMdy0uJBw3ml8fQgM4iwx9+VD7WX6ZSgtmDzdXh1T6qvsM5LU+608Q
fVAzmrrXvephqO2SqbNOaRFGBzqFTW5GxO0Z4j5W8gXcilyQj5CsQwjRCxsy9pPr+MW2bZzyvnAw
Tg91YW5E6X07sc8RSEr31qndYoFiP4G0mEynAFzakQm1D5wMW4Rdw24vpgQlEEzwXxYbatCMJDgS
+PwYe7yERo+bJa8PiVFk3nWcqlCw9HePIckizfGnR0WOU0sb7waF7sLT5XNS4qcvI0aPUqu6LcJS
lCtD7L1X7TiQjB5W74OWKaAJZJXkndHt7T5qNwjH33tobeR5EQnsIxyJpZ+ukZp9aC22n2o0xcJG
0n8A3Qko30+OQ3O0cwSDjOQAkMsk95eBQ2ZkIOzkOdJU9khRFR+z0uGqJ+oHmXIfsy3PycvZurZf
nBPiYVNlFluiDCpE9zJbZYOlbYNIYqgIDP9kR8Ra4t1ocRVHhIEyO1aX0sLiH8gEJKTTVqsxiqwl
m7P3mtErsvbKKrZ9r0/3BcEVy9iq9AM5Y9nGcvrho3WQTC3qErqCFzM3YnnkY+tXI1lHVj4Nn1kc
FO9q7JZA5OuP1He9FS/kV9qm5SZKMxeOZaZV+7EWDjSZWNv5OHkJUSjjNEL5FGd3xWDETIqlAoxH
B7nUpA+zpzJWElUEV5qCJ2q5YniI4+ieuhcqkmAPBJd8I7yCG7T39MPEObDkEi5WgAnEjrBk8cux
HWvRYIWD0s9mIoe0utZD1PCUHtW6TuIrqSCxuahhWh89rxbLMjOiPczA9n2epu+MwfPWNmHMjAfH
Oj5UmMtIk9fqVUk8BAgwJG4/ykBU7kZvbWsRTuJqs0GD5Tn60VnvG/2TsW1yT6wjB0JnJEsTAdLG
y6Yk0x+dwcMatfI6J8g/wzbtFIkhWeKmT/YQxLE8eJYTxkeSP9z8qR873rW8+Ro0jSlARqW8iCql
T4jTEt2GlQcgGzF2GNurMfCzldZ4EQIn4BnfhSqC/2PvTLbjRrIt+ytv1bgQC42hG9Sg3OEN3enO
VhSpCRZFBtG3hsaAr68NRkSmxFBJL944cxAZK5Mk3NHZtXvP2ed19PmE1Aj2I79TfdEiKFaTOcCa
mEKmy8bgqUCXXnLoBwIvmpqfrqRTPQH2WlkEPWw5onYimrEJ+mgyd4lr10xhalW+tqGOdixR3oVD
xA9PMJu5M3kC93MMkbtpbedV5LUMYZLP9TG0/XFjz3572xaNRW5O0R60oi5u9DEm/c9i4kAPcez3
xH2S/RhL+pdNZaKwoYQxR1kwt0myvdPmYoNo1TzqpRSHVm8pAWzdgsQWq8B2psJauRrH07O6+qSS
QXyWdBVwjiV14YI305jo6jmqFs7c7Wh5sGvzbkKIF15Fqcdp1QkluFMj2X9DitBkjZ+QMXgdEQLf
SRm0MOuByZF93qNfrL0rj1WY5BcFrx6FJTWyBJN/UEWa3kde3j11lJ7smRjsTOUc3aH6kltvOdlh
Eac7aG8LQpBR8FkLaYWvaB8PG6ev9QuGQc1dGBZ6FyQVP9rPvn2Ryba8JVi5XUWN0TwAizIejdpr
HssKcmDh6pfCBF0AolHHW7cwX1cl4YM4+vUjRKv6bqDZXQZhWJfuqVexuCFv4Nmd2zxb1TM825UW
6+RCjDrLfjJHoC11AieusnzKP6d6nX7yAKEhdWMmA77AMInIHbpPWdsj89LIMsF1FR1lEdUBn6jc
pm3KQ6jaEu6YAwcMGBd5x92ivAgwyI1fZ6o+Kn4NbjJYr+m6gacWB6WfJ7dt5FOJNXML/y7tzY0E
S7sxyYe8GDM0wvE8p5c2M5qLwvLdc26zc3AVeUiOrn3NvWr+FOOawNqOahgR28RLQ7eziTkfsGnu
/JGA3tQltgD8QIB3LNx15pDflkudBHjAAZSGVhBtWXQIl9Crmsp3nSSgDMs0NNYp27KK/edSyBp2
ewnlIkeKp9vLGwz+xdSMCF1lkhbNY9UBKbgyiASy8LyBSj81mGsB7FYyZlAQkyIwEozpzK/aRKj0
tfEOpQIKwh8ctOlzR8qZup9HLWV91To2vN11r0vsr5u+d01sbj4s6vHIKWk9b1tFDQnzljQqxsP/
uxCDjEWnqTP21F2ouc092azq4Zv2zw/apMaCd/2ud0kjlgGn7VKV0d1ZZO/famlqWJVpbhnjOdKk
HWg+ikvDRDLNIF7zvCCMvpiFhffEPFiZvdVEu7VjY+O54anu542sug1fdQdZhuDVX0L0f/TZlua1
cFzESOYHnU9hDE2ph8DYsEie3ZpaMdzTw/35GVg6zR9PABxz4WJ792lKfjgBNk1INr3DiLhPhyLK
FhgHK0iX7fth/kNO/gXTwESf89OW5PXvZSlZ158/xG3++Yt/diZdhGcM3AyX3cO7guzfnUlP/802
fMPwTbi0DMsWVvJf4wzzN/4nx6M5aRmLtwK/xZ+9SZI4XcNeQPGewSwUV8c/6U2azt+4Bq5AMcJ4
BGUc4OaFNfbtc5QXlpyLWp/2Nm73KSAnJjHoso/W2QwVFAG6OLxmiyJpi+3YOY3PtLltL4RXGfp2
btoxRf2vE6XeyC632fPby7wQ1gnx3S/10IVXo+NMR5qKekDQjzJWc+HRrQKmKzepgUN/dnKzxsfM
Yrlx54nQSxMCuLkhzmfeaYZZPbRyag9TCjbHIDRkw4LLps6k57QSuRtvWlacdGEaNfA+W1Xu2cUj
LjJo9jzPqcXWNTNY0VaVYzmsLzVoH0y2YYBjg0yxOfldM4zoZYS2e1L8zqM9VSk0dc0Xl0gWQipI
l8HhCjwEwVm9HZmbShvta3Ya+ZGhBNaDKu5Owyi1nRGm8zrUQ/Ltq25QGw/o4pYdUTqw36N4VEuH
jQiTpWdHFhCqkZDXcm5bn7yW02xosJxXbNv0A/TkflO6jtjT6Ig2ps+ZF4kwDuPsF9edZjnbzpmp
Z+acLknvtVdx6FH3o6AG3eWaNeCFOVyzxXa3tOL0br2AgHHtRfpmch2UwG1Wo38obf2zQTvwsq/E
I1rt7s6QEhS9h7qetgCphIyFei/bLRq3B5VTWab9AriuI5TuwxyGJwGQDXmtnpFMX85gP9Efug6W
e5zcoX2wtFF/I4Kg3IjCuHWHazbcSNhGQKsi0q9F3yfVWlamhcZP9jhX6uhTi2vxCnGivca3stEk
fhC7WFpTcVfsrFLlBxK2w0u/TssbSJvilAnzczIKJ8gqPQsmp5+2ZROFd1MPdMzR7GKPqJfsQ2hS
VPjpbdgDx+o16QahEuNF5JA0n1rehvCEcR33ehWEM4PMlc9Ue5/6ob3tnSJ788fxBdeRtq2EwN0d
d7lxy00O2xG58IWcDeQ6uW9taJxD67FMEQCXuqm429ZQT46VHqLA9hon0GL5OBdsnmblatsYg9fK
njw+pYztddTjnjV6IznkQ6w9CteNLjDjLrSdGn2RsP2D6y3eDS1GSGGoYZ2LNj5bAyyGktt2pHFK
8VxPMX2xMk4WoEBI2JbT2xsALApIV7cIbBLm3ztHFKTtfvKQaCZb6RsI1dgYzsLpg3SMo9i7HclD
c7D6aCTS35kmQ7M7WzqEbQBTzWLjwRDcCxQ7aXJ0Wt296TwQeZ+VmBnK9eSZWVt2aAvKGi0Hxx+S
s+9N5mffwg4PYcqA4dyGVtxuhEFh9gjms0wvxgqBERb9OeXbpKBOyl1bsXm+G5JEjHddlvRYQKMI
M8o5s/Qhfcoy8u/KAJtR6eJUsqW5nmpkTsEgTcWbrU+i6KnAcZ6vAUgkXB+tKrg9x2rCeDLNBtUo
UwS+vofJJgpykOjepimsLov2E63rJ/LSxu7FzXwMmk+cI78fyCfsqkPSlRZFfxlmHYZzqKS4XHXy
w2Gq6H0X3pdZ70xrvcHsuzbZdYY8WOjd/7NS/7eGhzrzuZ/MDv9v/vz1ufjeWfn+K38u0Z74DZgG
k0OCCbD0CZ1K6k/BAZBOVkWT5dHjCeSfVKF/ycZRHFB1sajrlnDwUjL0+2uJ1n8zyU9ihOg4iFxI
b/onS/QHxQGTedBHy6egFjB1a/kI3y7QqcEWR1pC2/uahu4Qm9O8730h7785Jz8oqD+Uk++HcReZ
O0fTPfMjCXQ2ZDuhh9IIjSWfOKsKsGO97l0V4wD85efHWkrTb0rX5VjUPagOTHZKSPa5fN9+Ja5F
Kv3BCveTUflXutMOJ4CU1kHMusIaWTCs+vkB2RD87ZAsz46xiDeom1ydMuzbQ6pM2o3hItJLIL8R
h9pU3WXV9mypKo10a2Yco/+ge45lbvU+GsiczfN02jnVaJbYyEC32cPAi7VXJWE1WMP3PllkyBX8
Vv9a0sC7bHzp75ow8ncjuXQ7AhzMdQkPFTSKUdyQ0c28UGu7T0bnlJAVW/RnYZGcw6lLziJK7TKw
ojLeTY1eXCSRnDZNJ4sbUxPz7yRRzQ9xJtoHt45Oej8Bk3Tzco2yXt/P+M5PAouwt45Tq78xZV+8
zdZcXc3WmH4y4YKv2I3kW1w6JYMHvPbLe2yvV0B+mrkxafvrFRvlaUSOpnjndvD3XKOrzm3tIQXL
M+tZzyM6sc7YBDNTrX0z5QythfJDxPaaWb1grIKxOIMkJR037tlGj4jQkJxudWm2T0x8/BGgYgwL
qVm5EzGB8smHMzXJy7is061bukyoxpD7fK3HFR0E3SrKr33r1k9pH3mfU4w/t35EqsYa/oD/mnqS
NojhM5FbFeZUMY5JE7VFPIwdDyVQ/DWLiRteJ6XIr0hI9cCqiqi6XJjMx6kvxwdvIvyVhm4bmGbO
vZfOcD0FkdFXiUWipEp0zA9kn8eN72wkqJOnwq2GbaX0joYKJQUeRqd4ZWgc7+IyfplabE8RHR6I
r15fr4zZjguCVauXuAzzU5MXCPQZod6Q2TDj0gw9SdVgZBdOOejakplOKahV2p0AbnCBhFnsh7GU
G2tKskudDAH0Rk5HLuQCN50juEbQkBL/wCmQpNM6L00H3dQY2zMzpGGFsu9Vt9TINEIcgRypVZZF
n3ypJdykiOmR4sc4wAq1lmpkBmYKtMkhdCy37o5kEwtrpboICxdeqmd85PTVNPeLxSwliCtn2ijX
aW7DMTfBActrW9HcXXlY0bm1eXqgSA0n2q0IB4zhd8X4bWu3WnfKzHL+2qlqWnNl7a+1yrIrWFdm
kM1dd9vYnbYuO++2afxk09vzo4bX4GzOsbkhzVaeNXeG4uBjTIAji9nX8IftxHitHIvPrhVW5j5B
Vj0QOhoN8UQCSYJdLITpUwVwYVWaryYPqCsC15SczqjIgA2ZjCnWE5j++dIjL05d5L4ekXCCHlLX
V6GmRfNDRrWK202ZPYh2TkRFe3KiPL0XbepFXY7DRHnDeO/id9v4BrLNwJ6WIQ/Yc2o8u0Fi5Hce
k6lxQGf/qGg/e1t3ykwbsiauioDwpcnbSqJNG8ARReds8dbO0e2Q2fykVSdDdHaatseKWrTleB05
WoTyF7axjGFDagMzJBmO9pNZY2hOV3q5TIDHVvnmQ9qPmr1tluTsV5q+XKiYXD/tAGw36ts7IPJl
0eywFGZPml1nd/5QJLtWX7Jhq8K194Pe5Q9uODEbDC2TucfYO9bBVnAwVuM8LIMELfZ3dmdZhxEn
IeHVyt6bhQYyTmVTMgXF7Bv3ZlwBX5bN8j8jhqE2Zzj/4phlyNAKXs9WZJZ1UVGGYv4V5RRk0Fwu
aqmXh4QG6aYrepS0RROGPOweoeck4cAUcQfX2BpEq6PGT0rUGX63LhkEKPJoYmTHIGa/qJZ/azqt
vJulzoYOFmhfB8MwFjfKEvXvC4T7kg+SRNvMFNWxZvSGwx/nKbvLaawuPNq0V0hJnGf0Z3w+Kx+M
bQhj80YbMzcjJLvgs2mAfWJORle8mV4LEFnv1HWegfwNvLmo7qICqv1KUkYYvDwyKmxC54P3pe4/
/Zpf9Gss57138f+XkH1O5EtVyqT8Vkb252/9VQk6vwHEMG36KzZzG6js/6oEffM3j+LQxFpoIfD6
DrPhQnJnK0ddwQbbdS0quD8rQWFCtaTaoOAh+WqpMv9JJfh92STAv9mgGmjUWPw1g2bF9zWMaehx
1tuxcyT4u923haGubaNs9wRGZPO6a6VNEfyvE/SDmvBHB3RpGfmCwslzjKU0/SYLNONb1yDo7KNl
m/RThhEkhN+ra8zxC69BGv+opfnHF0S+y/nyUfB65ged3MLGBlXuCkaYsfOc+hzASlPjXtrDr1q0
37eP3w/FpeZa0znWSTr98NXamK1tnxniSB6S/Zy4abu3MQDVUBQj49zNs//gZqlxbkO2yz8/q9+X
on8cmjxI7gZPB9lifLiMY5MNk84Ce5RmKi5gCBKHCp3YCwo408X65wf7EGj7fjTuQJqMcDi9Bfby
/TVUJJ0UrkrEcazg7rO6txQHY6qTIDx0LhK00krr+FAoJb311MaDfGQbDsBR5Qm1mFn6lz//RH//
+g5SbIe6gaaoS8jw9x8oNWKEaOCoj94o+Lo+79OdrmX84392LBTk9Fa5hblxPtxQUWrpeTxN4mjJ
0Tj3QpOvbleoW7DIv4otXs7jv/c0y3l2lr2FsG2XsYRu08z99llJurrVnAr4NPSVN2liWehZAX9x
NX907ngJGe8H4y314WLS5RBANXJxnDNZHVNvoEXiQfxcG3PGZuTnF8r4vjX8x1dCh2+YDt5Y633z
++1XggFpDDNDtiMabYBx1sAxjVCTzipHI/Lk4aF4Fs7EQ5r49JTizrqIBgIefvExlq3ZxzOLqtdE
j+bo4m87U/y+ZhguVSzZdss0pzTI8Qt977LWJHdo4xNPnWUmEzSyCiYjeH947VomO94g7f7nn+ZH
V4CGuQ/QhCvtfpTMs4tzFM5bHt4hVLcIjBEgYR0+CuJYNv/8UMzmaIZjWrDMj3eUqsGPtG5jHRMi
3259fwn91nLg1WuPauf484N9/6rn9S1I29Zdn40ih/vb7VvHXZU3TU0cG0YAUjS0tn4Cb1s/zaOn
rody4u3w8yN+nOBxSJdgFJ0lmEdHWB8HWHU2s2mlK3rQQ/bLwis1NCCtJEdn1NRtIkOuq2XPYCO8
1LxnS+xvCtVVR1eDgBl4idPsiRVkI768QYDTIKCYZjOZV2GszUaQGNWvTpL9vsT++160WfiXHgk3
og9xhbHNhxdK6alUqMISB5nrqGEWNGe1QDojQ2b9qtKLCXgnnYMWlCcYjMnZLKPLm5a0eIxzKfqE
VViEXMiQTvvrbBVILRBjsjuIZ54rs9F48+pIpAd6sCPx4gaYyecm9tQt5th2zz6we211x7pwUahh
RwMGfDGaafPUYYQ4epGwDm3KCXyPabyO2Fa0G5oa/kM3xxqjGkRcxt6APELL2o3bMSj82MkIp0tI
j4z6BG56XjYcw+NMgyhmQt4wplqJQTBh7bFun2VcLZGPiPSepsrtmNGEs+8cxtqqjgRbFIh/WqOM
D1ked68Z+Ngnty7N+kDrdbqlA6euCbPE5b+oaZIvxuRzyRAUO0veEfOShyYnUx7ErPMMRJe7XaSm
/TyxPXlFS7Ss0MNgPxfsnV7qOTT3Q+M2twz7sX6NLtsBBGYDMyofks7o26wwxmQY95rV8JAqz7uk
E07ephKc0TAJHyZB+nBoWfK1lZ0XaBV4gQ5HIbSuMXRvpWT7ZxKz/Fr7YFNXhUOfyFCtfM2KCNCK
YxFpPkt4i2sPNvBDX0/8lIaY/sIPS/5KkU7wCjrOm2CEvmjXWFHxW3vbWjo5cZpF3KZ7kuPZRWKS
584mjZnoy6KcZvcQL4WJlrrqGpSYTxvARKEEAUltmLlpDhyS3DijbuCuoQluP7tOxtlEfFV366Hy
IJwMeug6h3p5X2oDCJedFEOT70xl8mEs282KDXo++epUMc9fxdY3Ik/KM86xVuRcShtFPyZJrxkD
dxKsN10Wot00Sot7GbSj/8COij/rddijlWbRwDM81qKuczO1nXAXYcwrbROphhXNgM7yOVq6UPYz
tnr72Yl731zJsmXYZE9Ge4dl0dzP80j2jBk54kuJ0/Tem5PplDekhDRSVcTxQO/3tgaJngcsgQOA
tonDyFwpwjZxaqMxCh1kBzOCYgh4QIRdWO2kP3v6sRAxOCPk+/46sSUhd7YmkI/N033mYyMl46Wu
DwhACdbknqRHosvypqulV6KO7ovfK7A0b56YqwubsIkzUQpIiCeVhgpNO2+m9cxobzPqIM1XnTbV
j8hBWrmV9uS8qNk1AtmV5WUlSYzY0u51wb71xDgaaVXuBrBsZz8dMDRjOo+/RBZtJvRYDH0cpOBN
OYVHY+rcBhHj6DzVSdFtp7KevzjRWB2AyEcTql8xfylRHG5s2yS3Cbt1G3ihvahux/IL0me3C8oB
T2amt+5uKUbJEFfNEn/aFtqmoQYEWWUWW+hi3fJiCiGHkuzSZ1IjoqypL9I2ltvJ7qffw6gaNzhJ
tZvJr4rHJBvEOp/IhalLAENpswgqs/bZ7QTPRzJrQYj0aN0PrbEt6oo/hONDwI3n9U/7Blt1a8H2
dtzcqhjUNT7Bvwh5XC+iVSlVjRgfhNqeoflkB2UyjCsRhhwInHQYiB7hrFdhCQVjHwfA5bUNqIH+
U505TU1ah9z2CHLWZay/5C5UVkQ/YOR9Q22lFloBymRgoWFX3LAqzbigeb1fOqIZwZbrXFE3MtPL
ij7ltd6Bfs5Bilps+anInqewM86amfJIANm31aaq4a0fHRVSYKOE7po1b9vuNaKrUqyrpRsy6TO3
rN4N/kOLEDzaeL2y9c0S2076G+JsWBKIpOe1aWNIRkRKJ0E12tqFMbzHEct67PV2yFRtaVhUbb78
NUPVcpclHa8g3sYUZnXF21axj8JoQQnnDLOB13ppm/Sxje1FEaW4t42sfqprbluEmmiEkF+WOal/
TUQ9F2OgMCzIsTzzsayLLzZc4/oN1oVYyYEQ703udnJTpmL8nVZWE63tTLM/+07oXyBzJRceqV28
KlWU9GgI0/irHLrntLatjY0YOFqjDGzkYw4GXrtLZsKP9qQGeueBoPa1kyfZJsbGtEe6CkTEK+tP
s0+uMxHNYvw02G1x60T1m5nPj8oUxlXWkZPMe9XNQSC3yI372nyNujh6nZNkvIsQLdfXPPHpphky
EMYicgmqGuIEXl2TS/fg2AmdJDXmNUxnh/f4OutJLd93hB4dRVNNJ3QO1q0zq4SkxyKjk+NwFdI1
xY7/oJUDamBldPlJta24mpM5v2oM0d8WCV6gFsHnixi0fFOBS/ha+Q7xO1gjSTUJTVqv0rOSdRaD
nR37efRXRZPzumD4HKSFJw5EK30Na228G7sog0Tc66c2iewv2eggLWjz2GetLCFENoDAzr6YklOr
bIsAelqmq3iI5DMOi/oIhdfflAlQGsNBC78SDBrancErb4sCu4eMj+OL3FPSmNU2zkuMZ1ldg6ex
5jsaXOElAcnzTRczNfBJIn3q867pN7qUIjkoeJ1MUypdc1ZeOHrZ2VH6WO/8uJf7JYPnEg1c9Qmq
rOmvtazHw2Rqro5QnJvnPLLCv6Gekqe+JiVCsRAey1SSwIDdJ5SrymB7EfNy25GdaaCRo7LQ1tHg
DjeROYwWuMKQqbDklfeUqc6CBprblyoxeY1a+kRnsKmHcgwABvbhOgeIfOrcabYZ4zSGh6gTRxOh
ZePvlen0IZicZt5GdSQuhGjMjZU78172bnIrC6P5BN5ePnj5JDaDmoGmpXjNMcIT3KPHMQ0+1H6B
hdwZfnpIQqhedKxDnY6KmXZtkqOGUVTWM/uUMof/ubarMLkiP1190ttRO9lJhzw0WeiQ3jsoslyY
kQ00T+wyZuLLXc+9+xYiRP1ce1b3gqbUfR2dzkm2OqN+uSbtjby5tMpBuIULsHJ+Z1e27xxLYn3f
7AVtKd8plyQWdYzCF/ZlVZVNwPwDIqZw23adsTpfaSRabcx3dqa/YDSBoIAtYlSD6NB+J21mPVgc
TYDfjN9JnO4C5YSKgKkC9Wd+hcYSame5ADxjDYQra7aEX1/8QbNX8Tvb/n2L8Z9e6C96oXjnHVoD
/2r1Bc/d83/9Yd8/Pxe//5//dRtXr7//14XMn8vXb9uhf/7iX9o147dl6rx0Gv0PPDXXYGa+bBnZ
n6FsY5f8b+Uav0EjxPljlG7yf/3VDOXPYTI33qVu9j9phGKe/a4nYJOx6TGmXvbhtCl0hKffd1ua
lsFF4aON1VxJXQY69o4BYZdsIs8HBWraj2MxLJmAdQLppH7EY6dd6KN7NitckGuQFKDvpShumHWU
1/BiH+xQJ6+yzpsUbc/oBXOvWRcthpi1mDR3m06M0jzpnuslP4QEh+sUa86zbxUnZ8xPaJx2YVeH
QdfaZNePBSr4oQfm0iZvvd4n54LzuG54XSHIqRosSN68YkgGOFafj5WvXzuGtHAfjc+VGtXKzlqA
nlgF2y55kzCZgsKKpo1beWfXUrsxcWvoq+UbmQCn0RhuYYkQMpv0W2Fmp36ar0U6HfWIn2pTjGBx
8oyuDndCM7/YXYasyHipXOexmeS2ysMcVlpsfYaHsU9az1ktE9ZNJQlvLjXvDKr/MRvyZ5eKZatH
463eZqflDDCQ8QJiWN7S5S0soy7dWjlgNqsYwURFvBmGcbjHTnfrlYpBselEF23uv6CJ83dGLPYR
SZhZb1YXM4TJNSZ/Toy+eIWTgxn3JvxTde+AqB9r4EFWdohU/tw26TOu6LMbW1Q5DkESgi80iuSt
6qZrkXOtJqvbNn5NsIbIDrPoQyaZMShbk/GTWXGizLgNVyF1/AphXLyBRYQflRHasatRKEXaci7j
4pkXPNsHsk9WODuYhHKsWvADrArXzOyuO5PYGYBNhofFExPVsXYJix+y+M3K+THbSE5Zpo7oKO29
x2K/ShO+YSWmhznsQubsDslCvsXsV3KgIfHAsvpixkyaHqppfmhFE6JjUvcFKm81lWwK4rYLsIs9
w2vyNzglX9CdHwczSpA0tck5a9zHROlfvca6wmpsrJ3RwH/R7WcSgvaNGu5xXe2TpO64Ua09hRQC
fN1jDt7BDur7+ehUE2PDkevpWygyfJc7QTGbXTXIqVcM4x7KyHjxrbEj2Y8Q+y7KDxhD7hlN3guV
vxWEv651h1CEvlD3VmjEK+rRepubSyIVwUdrCE9AA5fzbpTOmXnLY9WUOIWFfa5pwGzpz8IE5drE
jJhXo+UQIdouUGBuR0RT59rU6i8YGn3c6jEeKHwMN7iXGf+pCIpwI+w1C/2wb9xpOBAnM1xIwKoX
atBI7Y6nfNPMdUHseD3hZsqHQxE3cm1qufXSGZBRh9a5NLysRoGnKoaxAZGAdRrQZLICN5vH59Ct
iCHArkZSbYo59CErw4dCaUzzZiFhKIG2WYNyO4sy+9JaLPeZIjaRRRGuahLU3dRuGvY8RtAiH0LQ
o9qI9IQOi63bnHMtvi4rLLs4eh8qDdeD7G17M/T2syqn9qUsIe8QwhFv6AfheMRFX9N9Aepf9AE6
iPDa6GBmRCW3/5yaL5XBZlc2BQDfQV9DXDS2BPVx3ZDBrHqi2WmlosylePauhO72OyC1+Fgz99HV
HLLfm/EiHNo3bWyPwskO3yw6v5wvLW9xpjm+x3AVPbP9t0kIASYkpo1ZtacmxjLRN9069NQZ1tZp
Dg3nF/3s71u3fxzNZ0GDVK8LZiEfenfIIvvSAci3h9deBaWRHdB9wPe2eKH//Ht9P1x6PxKabW/R
bOmm/7cm8ei6ykpxje3NLnv2Q96Gy+s4NUaAjuwQqwv+Td/+/JgfCPzLubQsjwXc8tgC89/fr4iR
VfqxR2gjSkU7Bsw23FeKB1uzxJ7pPwlUfF8aIkemhL9UVy16rW+7ou/HptGhu0jTDVd8GOnQxxvn
lM3Znn2EFaQVAcNTCDWb18UxrdJsr/vqZZRqIGFqGA7pgNuq9UvKc0QasQN1t5yPqK5YdS177/vM
TYA9b0xvPI7U4Yw4kDNT8ZPjlZ5Kp90W9nCriuhBR2ITOEqcey/X1qqqUCHYdA8jmq5rAWMi+PlJ
/sEtBGKE1CjDMeiRmx9uITNP/AKlTLmPTbkVlX6NH/G6WBxDvzjOj84opJCltPJojX8U/fkjkDn+
T+5VHw0E4uLryUjERkeuj7zUTwPpZacuWoRlw3TtdnpxEy/zATFHb83Ae3kpVdKMAoKEvCMWGTyk
Y3+v+c7ZwoAae7zubdpH6yha+krKVI+RbU47epo1Ea9Tcuz1Vt6WmXpQLcs+1nxx6BKPNohDY1iU
yRtWWGdFvhxXEWLFTmnpW1jND17Ub+cO7S1ZAvt4AtpAcO86KugiWbU6Qi9ha97P1zjiAdeZ/G28
zl/apTHjGtRYPz+RH8Ya70/FsvN2Dd1zGep/uGCzi1RHaFa5n0e8wJQTijebXZu0aEfrF6OhZfj2
8Skgb0NwtVyiNT4O51oCxd1cTOXezoZbIZNDUf3qhfn+JH04hsuYFtcP/8RXsnyGbybySdxkXa7r
5b7yh3orE2WuRTi/LG/6ZLamXdeGBxQsaEXN8xj6McbS/KCp8DOc36+eg0neLCCAenlq7YeURTxG
l7eqp+KEBeJtdkZr49JQ2+cW2Q2pbSF41Gd5mScAU7z6k4flYOVIDyAtsp41KCiaQwY0DwwX9dZs
GRFYPopCwAYL1CB5s0tuwSbJToPKDkiZJmZXKQUqYRfKNuABok6nRd3dVqUZb4Q1/2KsJX7wxHIt
fNgUvIeF+DhEY+6wqM2Kcm+Q9kCjp8BmCOKcpkPGd445A3B20yCfvHNhI3InTlkHhF5cdSn3cpgh
snPKfjuGM0pIx6gwjeiPY0pOhqejMs8G5xz2rrPuQ/sc45UJCGXS1nWFC9FNpwfdHF+QHK0SN7lT
FtWh3/CFW03tslh/mCjEVnUY1zsrH3d+Pd5GNj7PtOX+FDUvPunQ4gRtmQL0QD9q2vMDnNHh9I8f
EtaM5T84iti9md/fVGPUuHk3EvsweiVCPLYf7sjHEXhewjr6xRUxjO/nue+rI9IOYE22AQHnb89k
I4ipMsGs7FtTlpt35ZYXpge0n3vf4PrMFbfkPLFBwgjfAQegAozyE1QFIrOrkND40q/X6FiJyUZy
CrJW0leYPEg8BjMO7wpzs2TSRbWvysqiByNfiNu+VTk2JHdZjLnNIit7DselSh1x2mK5bXpCAlRl
rilXN0OXelsiXBEcctfMQllBYvODPiRKR+v4jXoctnXYw2Cau/hCMSN93wSBdqqCscuqQ9mP9wk+
zADwQL9GZovjch7v2y7SVxNBEb413JNffN1oCTxGqjXD7QOi4Kdg+Resyg3CxeWGrPtha4hWbpbH
SCr7XLnjvRMtGwg6rTxPjP/zhmoJYdtJNZkXuDU/DTXmkYh0HrEORR6BEC/twrLuOcFpnpwSiz2L
ryjFRS4e03jAnCwwcVbI/fATa0SSz8USVhPxAHddfmBTvCNwEkIwM37Q0vODM3YnOkxfYjmWh8yw
z4OEbmK203rZGKlFBD02LUNJKvu8E49mixLwF3fuDx5vah0gXQQEc0ctKcTfvg/zCRyEKXD3SBe5
pxxupc66N7DNCm0e66X+et9qVwSPbDufSu/9mS9j5iajBA2U8mtYPIKsK9ONn/mBNxDzGuRd1KyR
IpQbX/XTnuBfjQ1aRuoktNxNU+bRC6Na/8TUn0lDxLrIfJW5Hu/y9exaZ1PjHZN208NgUW7prYX8
WE/6tYo6siI8KuuIjSHrYWzBSkkjymzYW/fdwBu0Nbvb1mNL6vf5Ce3qrbD7ZEdusNokbWYFzTgf
i/j/sXdey3EjW9Z+InTAm4k//guUQVXRG4mUbhCkJMKbRAIJ8/TzQeqeUZd6xOj7c3E6jrrFAgsm
sXPvtb41PuZxhWbI0AjPaOYvrlzafdf29x67g0ORudeKlwibzOHRInphreZ776/36386bO912Gzk
VD/dq7902G66b0nzN6kht+H6I3/21rBa/kHCKv0zNggWE3ju3L8ol6b9B3czHS6HADCdv/W/3TUX
XygcO3iWiNZwjPI8/G93jQUcK5jFfuo7A/NfddjMs8oJ9xaKDA8hJLYT1ujzUrcg+L0YiUW9zYsA
UDPAEx0QQZcU7k0Qt7Z9Z6NHkNyWet3t0djS9gPRmLlI6uGmTdfCAuvN8E+Qtttn+KLuU2r0cnpy
fDZ7bEULjPk04wtYHasHvS+F/hVq0oiihkWX4GRoSStxCkcq86MmNWEJRU1gM55ORX6qmHS8rY4J
hhBS+K/a6pmnZk5OHpkJNLETUhx7D445mgJCrjDdW0EJNwY0DRwLyx0GehpMcDDstR0+PKwHHzys
/BTe6bZa3f316vN3V8d/tnr/p5UC4Cln+AybxdzZGEkx7dduet99hwjIlSeghiUOtq05Vt3OavnG
UJFJidlJUbbbgMHAhcARmqgs2fTJ6L5mK85AKjfNrx1a41u4Ed5N1ulYTeaMvt2mdGdSmbw0hY0S
TIECJNJn84Pn9H295UrMz/HMfl4jZnCASh8nD55txQG7TELWoD+l6pi5MZg9Ak2eyQA0SD2yJ/2Y
1Jbi/Ulzf6MbOXgZr3dTQl4yq32au6ljZyByufE9xdtA1sx6NMdvh00VL0AoitEbEEHb3BL5kqGo
R1cul23uSNltGb/Nn/phFu4t38TUYeeoatoGKzIDiLO1Y/aNkoImxhtRyfYuXUkbMrMpsxILTYPI
hi1jeO9O8OZFoJgWCa2NvrkjDqk7zQ0bQb0Sxp22Mj5qVbmn2CY5Pew6GCBjGxjbiYcGwuGKCUnh
0aYFaJXAN/aCts8lptN8vtJhY3vtibjpEW8IQhGJ2Y8TYbcb0Gt1e2sXIqUzWWcESOgWkUOY+RAd
dQSvS/uSHuY6aUvhz/sU0AZoSlTunL07xoVcq8VQ3kPFFBzZhDYF7ceyQ33BSo3WfwanFYcdwxPI
cNOEfQPRqWxOeRN3waXbJunXiu4VDt7SKzxeF3OlXSoHBdTaHmmuJaFgl8T+phduXI8vTNTJhy/k
OOxmWCDzcSJKzVkdtTVJrST0QAuDqgaFUAfPE/YICEgVWKnyB72rvH2dZNltNs3GskmFWn3SXVzx
ZMfAEtizzVm/7fJmGAGDAU6/XJZsWKH3TPQb3I3WtlWVMjY6AB62DFodJLduTX4aPeWh8q6mpRqv
S+noUVdQ2KQJfWzuOFtThPyQkEDDNrvWmqYEyYewhGmSgSFsCxJxfDaZxUZMXkVysnV5v0wU5XfB
oH3RlqDmmUJwOW18lB3Odd/gY9/3IkURkQxz8zwB9iZQdh7Sx2XxzSayCWevI/4lI/lAq/v+wEo0
P9gimJoj6llm9FlZmuifgBytr2NGjVbTdm904j44g+tfWuhFlgdVwLM5jBhfm2MXz9PWbzVy0KXU
aVrl5p1djzyPsR2Qqp0nrGbOoNdhMYs8WibLP+WaPwO+QuM2XU4GNgbPkvVCIlxXRBD85K40Egjw
GdeqYfgIoMJcbOuOfqWu9taQllv2/+ZFQ1DhzvIR4Ow0WDMpsqHJeGwXO9vqVmlynWFF5a+d8PKX
XO+1D1ZXqk9rfke3I9bM5lmzJ0VwC9z+yqCoPXYEdWxKa8jlDktP0l3wF+whNLQWYRBEAoJmQxcf
AwHsUgMhQxgvdB6d6UtpMzMe3HRjShf7leMS+BbWqlUHTXSQItFUjAk5bA65AldN3TIY8fFEPRqg
+j+qEV8UtzA7MTmtsitA9gfgb94ds3hjS6E7b3szFUeUF55OYgOpcqXmAERbJyX3ZJnb12VlYsWt
Oq8yrgCmNVdMOt088kVjPYue3sY0gYRkMoou0MjikmA2Np2kTql8Gq7AAhnXy2zIe3Lc824Dbm9K
7rBVx50Z5nY5L/OhsrweDdEGdn8Sn8hhH0kw9AvjRxfvP/XUO/XUmovEtvP/nljuCWPPvr78PKz8
82f+8m7of/AROqsD9Q98f59a6y8Xr/cHBRapd3R/DdjgP40rLQMXL+Jwhhm6pZNcSkPlz4JqrcKA
Cq4qfSguK6Hj3xRU60bk58ZN4K4BqfgoHGyoln6+x07GCdRg2wzQHAaY86SHoLZBUhms9NoAAZbT
1Zc4gjJe6imN0J/O1T802leY8s+Hp4gjxYqKi0B5lNzGuRBeCFIDM+XJiBmNtxtFUO7jMe/39khT
b2PZi30E7w/VTW++lc3o3Rd9PkaJo6uralkwexVN/E5rbqWp/Po7rfUqWOSAE3PesbY1TYtTS0Z1
MtRHvXN2gY7YaCEZ6DomamaTItb59H2TWwptvkElxxAu081t4Ne0V+ryW8lDel3AFEMw+HnINXMj
GDY9zPXAKLfPnIMDNfNUz+U18T3vWSv++Qt8NzJz3+Dz5o77efMZG11Qzbj3IpsZZYKhcT+MdvIh
HWlxtqy72xjbKLRUtz8MTVed5nR58TPvUXZucAQAFW+IGVc7dDTBXbN4zSOqwm+LE9cnywcQOLbJ
TIpurm2tvC/3XYaI7Z3b4myM/uO2+OkbnHd++pJfuJllNMP5OCHjrU+9AyU21/RtT+3GTAYafJ7r
vAkZZMkVHPr7X8H6x7uAbQ4beB/p+apb+Pkk+jOuaqSEMgJm0QMOw7T7StTUrWfTecGK+ZXKYHqi
lku/yA46mkpQtJir3JW8XSRNe1NHsNWxJwoZeI4ksptDuzIP9WhychbsPDG+zbVhRF3sPZA/vnP0
HDuoFqCaQVxrKEe/1ByjPCxN8+Ip/cGdOVBiG8OmHSHZvXPOz/ZV6ynH/wK4CQsQjpF11fv5+6LE
94oYY0Ik8vKpBiOv8nKrLWQ+MdW2dr8/u2ftkR8HM9lGAhDgg8/bI9AH3XoVnUXftQKZTz1nkLxm
T8t7ZoWz9e3PIzHPQ5GBget8/ITvHSpz7HAndcljYVjJE8Gy6ISrGRy1MxeEf+mu5p9il4nw77/k
GV39x6GxCngrUIB961kPqE8yYca5vuqhZijZ/u3kCbJl4zeEia+sq+57i+l6iX5ay38c0DHZMJis
6u55TzlQmqRxxi3LWl/fD1Z3bc7oR+casq2llm96XD02WTltk7n1dwOZnRtFPQW1eXnnq//jzYS3
kC6ChbvpfJOeDb2CSMfzOzJA3uotDR8b9kqoZXA/nTR/+/2ZXp/FX7742qsI4Nf8ihyj7sQzPUxc
ZHaIUdIa8WYZ/PQdg9j3d+H5YQxel9xJnF77fMgB1jBpYMrIiMYEka9qSsnMowXhxqTdjZLw4UTZ
9EhnUZIGQx8TwTQTdqVdLKRFv/O8npMjvl9t5tN8Xctz6VWePbA4yWPTqvUumg07fW09Gqvh2CX9
jWQvXYWj27juphn4AAzHAcp35QpAWMRp4D1nH5cWG1iw45VKLTQFZt8PxsZJMBT8/tr8w6OOEIrR
truWGL88gIDpMRn4MJXIZOzuyC9x983sxRd511NV/U/hdfvjQvycUHI2af5+QgyPFj09fOCm5yvY
CFKJRJ+CywNfn807vF/ZLVezmgn6pR+5aWVVRylGtbBBFPjvlzQ/QBjBasa0+RfNQMred3ZqV0QI
Qrr9YC9qh5wZd3jsZP/+UAErtcfZpKpE0fb3pTrLDdkKHFhRv8TVG2ML745EdNCumqu/d/n+YRHj
8mHPxOcFN//cj2oupEfhHiRy1tKTbdzX7UOVoDnl7Qb/f6pQlTbw2X9/Jf/xnvHdwIZJiTQvOK/A
Er0m4MQR0WwaalMBcQAvU+ED0AlS+f2hEPn9unhQaWDtBZVDDsa5ZM8v7GZIFoMLZ3e62LsEuhG8
ntrjsiVHcM157rAguCMDzo2w1KjtRd8N026ZPKsi55Ft9I6pBTjOGCzfR5MEzXTb1YU/wAEHLUUa
lEhfCD6DH4upTu6TtFx5A7RpkJ/zlYi3cMl+3uIMQhU1Wro1X3wHF4CE8ZZdA0IrDxP29Y8u4Hxj
S3fLAXZmVJO7s4I2NZ8Zy2fVNzc3bcJpWtSw6QVIEyvedlnRpR9k2RjzEehu4ESkZlT2TtNb41QB
5tUiORRKXjtVPfhXNs2x+M4lfafe82eNbJqxk8UUDjaCvm2NiyK5Yvq/ppg5VpPjWxDlg2J6T3JW
rTUHEM41Kp2kMzsMGtnHSjIdCafBbvIjkWFJizegaYr9XNC32hHJUHeX+ToPQFLPmLGMpByh4E3K
oX/RqDnGFoNGQL8x/Ko1t23lrMVVhkX7xSN6ErZ0TMw2KPCme2idTCNZsZf5fItDSj3Umd31u1nD
rXGvo/0gMXlWyXCkiJ32wgfovgddTovKbpMFQ4rMA2ByvKJ2ZVwzutM1M2BILB3/Q56KcjOVVWNt
pJ0qjD4tsQ+VP9wZXbYflNM+xQivnkvN1+/72h1x02Fg0FYkiiWCm6FcsW9yP6VefR97QahsArsL
mniRaRcQv4Kioj2kTpaax41JkmIOR5wODUSuIZ+sfWVZX23EnMSHzwiobQwyrhz1XWBnbmQH4Hap
mGlz0eW6kOSQvXo9xih7QIZVe+plES7zM2tidElWmpOVHwnhAD/nilsnoCNsANW4Laxx2RDMZ1xA
Lk+vrJHrwW4Bfgd2tAkFTORoBnkMeK3INY2PcWCTE54XA0WF9DYl76itlN5yV5TTUfQ2jZNlXrnQ
xU1hiA3+n+5UTJO5XfQC4HtP0HuexsjQ8HpdjOTIZ1zZW2CB95WWTjtjJINiWTriILV+wKADOW6h
dL2Pk7L9XPtSv6xTjyjTHmzdpPfdm6sJWBe9arf+UJSR1zTOquvExQfv6GjpGQkTs+fvukmdTNw1
mdMa+8KZnyt9gBycxQdCKR6yYX52prjGKhUQcjfEzxVME0DDReUf1eCRgKeJGOS/hjHLj08yRj3n
Jo2/03NI6+UoFmRV4N1S9g33WaepW5F0/r0cJt7KFhEiM3TzclqANGn1NynG9oBMPjtksqoOdeWr
N1uSJTNnMEyKbaGyfplBI4kacnVIpdkl8a7Jgh4Ylp8uocnN81Qx2CadRrCP4FXOIgGXZ8SHtRTX
YuQuy2fi/GgLHYFIzTut6Zs99Gz/gv/TwN7ndMc/qEf+DwYSkJiViDSbsQ0faZFm9wnD9R6bp5+E
Guq7NvJWvtKEIak9WEVpDtvK7zwVzg0+3ks8gAgHC8/vAHTPysG/22Q6JtNGZIeu40zRB6zL7QJo
/zGFUnNrlphp46ousiPY9m4HzFsAETfB+OKnQpQsmumUZlJ/dVfnYBgE5G56C6kFLa++Lz3iDxeo
cNJs8tHJrEu4Ae6DrYr4LQBIAyarht+FqEHpW2b40weaGdVb13ZE1c6VND7XkwdxaWidG7A/7Sfg
P+NWgt+OeuqlR59o1U+KaANuxhIbVW+K09Kwn86m2j5CxpBPpulYWphLrLe9wtIfpkhOntPEF19E
axf7YtLEsyfM7JB3cV8ecV8V+wyT25PTiJn9YTOOW7iUFcP/RfJwlKZGEoxuE6Lsus4mp9w7Dms4
AbYsc8euNOhIjzFUhVcBn1XYMwH/KOIxWXY+HUo/DKCcZxs6yyLYVPSfjm2dlus9qI0ngpjTB71K
sVZ63WDuJadT+1hDGRk2XlsE6UViLvyqbqE+KnMaxqskjpMb3EL+FgzWctX0q2c1tflUKECRrWfu
g+pRgoSUd+IEdJ3AgVG2n0HNmrtRNc5N0vGo7uqmWvbLMBX7sZnsKvKgSN6UZau8TUviyw0PkeCh
4uq6jiVORRXYN4yZ2tdOJd2dvXTGo8w43xkysmiZ6znyU04q4Ir5QuPWvGudrn111h3mpnaXFqCS
yLOIM5sdnImsWFcDFWIgYj61Rh5cLkq2r/3cds8wwc3d4nkCdWqCdm4hD6MMRV3Fp4RuRDQEvfwa
jNK5sRehoYwm5+Zmyhy8v6NbVfNXoK42fB+mbBagVWski+HS4LXcbscgJ2U59QWD+jrNa1aoAd8Q
sdT0xjEN3mS4bD60TLqu8W02+CbdYtuvUZ0ogtCchvDD5FdnsMxdQoYE7DY93ibaoC46ZL1kq+DO
8bWcdTEhqcgiCWrb6lpyMwTwo5gPOdT/te7bN8TelseuwOwd9kis8m1WjPGJ6QR/IVbBGgs8lv02
x/A2hAvPOW2sWj6RPzy/MXODU5EgZI7jmbyTrl/v8iFtyZ/CC/2QVan6aDc9yXYjxtxT6ejFvd93
7YuVp+6DFizERLf1mN7MblUbobTr7rkUOOl9l1AkHerWfbZebpPA3ksnN+J7YSsOVGjznlQncOUU
GemNLTlrPiLrWz3R5jd9IUlEm2ynDq3Oj+/NCnyJ0FMiS6yRT2yW4p5CevrAnEl+XUZla6elI1xs
p1Xp/OYBm6o38ZDCTaXfIjuEjNjNNq7WwHADv4bqM9Pc+N5O2WCE7SDFfMTEgY40HbiTFmYJLL2u
zZ3GmpXeAFZqjE0FA/9Ws3K9C9Vccq116TPzhPDv15tA9m+Nr7FjU3qVE7Q1ijetyY2PdoLRGmKv
8c2F9T5sePTEHavF8tbg4iRY0ES4hnfCGb6ZDHAdrpnHvd+2nBaXN7mM9LEwunDlHD4uBFTdB73O
aua50M5aX9z1MUlhgzDb617N7SfsweLO6P3kJnZXWkGAcyLD7gfDPw2wevg837WW9E+CHCb9rtPQ
byq2T2uY+Nxw8iApXLEnjvfIwhic07D26Jv2FkPs2PI/LxByr2OYvJEqS3WwXeJfBK/NS6uzARMQ
MZfd4l9o921tyw9di4SnW9K3Pmn4V7JtWwIiWuvVCRJnb7e4TlsbRT3OVQKnFUwA4lmwQjiOjVCm
4znsrQovf9VNtxQhY1jbefyRaCDmR1rz0Af2FSnGjON1omhI2ejQHQX5taD/ow8pAuCq7TgsUgJ9
ZPSSevDGXGvJoknPNFJTtPamnp34wY3xhiBSGhIW3WrBdA6hX8AqOmKOO6l5xj/Bs3mFKaW7rBOv
PiVpPYeU+pSAAYorWqgvgcPsqPDq1TivrK+qtE+C2CiWNJ9/WFLsapQKaAUAjEB3eKLeRqGlT81r
MPY3TdD0+5TO8lHEjTdtREpBqvJmfvKnMbnX63Tce1N7cMFnbIORTN0wEw3ZVcsL/b/qU1F5C7gz
RlUsMHbCQs8OZ0P2n52C9C/ksdB0K1SxhjKB2fOeUCDnIjVWOtk8jreMmPQIBpJ8GASOSouciPtB
chCsv97toAd1SGN6hhwQ2y9BFrgfXTDcODy8j0Bzq4h2KfoknVIurLIZb182plcZeXCbxjCPsbUY
r6kej3vla3pENDegsoyR7qh4GCVQkHAsaBUm8+xeUFzYT7ntRLUzNXseJxbgJmd3SvpREAVlELwp
zDxPE2SI66AKFnebVPZjSx74ZqKG3TusXRdVLMuPBmSVu1lxlRwlJ7H3qAtxOnXJjkFd+22BBGJi
bwKMiYItfiA0G2uWNtUty1o7Y86pUCZMLaM6BggkHyLIQ4NJQc/E8wWnFk6hsT70hShBvdnaZTPn
092im099plV7HsV9Zi05hZqDVTvGxF/ZTvyhLBrKDBuROksgtgq/z+59vVu2RWX5F5LUU8je6S51
iHcoSCa9qVqnIVlnDGCaY+E8znOzgkw1XjsVYdE8cJA+22TKb5DbolMR+UJcY9fVbEtLcJXgi5tR
XWE5z58r03YjcPErLnRqeGNhUkFqkGnTLYFI4nKmmc2uzkOEFsL3K07Ye/R7B95iBx3iECt4D74s
rjAeQeGoR7JHbCzbMwOesB5lf0nfl8AimR+MSQuwvlvIILWXrqmRdJCvjjHWXSfydYppTfXG8zTb
3bExvVdjcb/FXSM+U7GWn6FJYduXBFh7JGDsLTUku94bqrvZpWIpIX+grwz6ZZNM6Foph6aDQnKc
nTSrGe2t8nTpHbwCZSiLhtvcaGPCzLeeveaGpgpAQdPPgbIOJV4F7lEn/1yh9LkzhY8tP6OPHGYz
C2iOcvdrKU3YqzJPv4pYX1pMPHygwFl+chAsPMywp8bnjoqH65axyWHIXPKW0KCnlC2KzSWY2k+8
LencLdjn4UnSkDziwjUfqY/ZmRZVap+SYpJfq4JQHIJ5aCLIGb5qgQKetA38M591mRvARjve9Fi7
pluJkfUzbBY24XacYVOCUiK/AlYEo2suKvB2S+HUD6UABhHKdBqbvZf0qtnbwUhHY5hSbo/UHChw
mrpsHlLIlQ41ZhN/BlzHzwTtBNHBg4i6Zn/o3Ea1NffFVkl+y12ORN3f1oxKPTYxEwfNCa+VF9ni
9Owb9VoZIFTJbEn2FK988qKhKTnaI83PbWoHsxZp81oC9LHGV2IzFVzmqU4KlAuUfdiQzsJV0hZe
dZtyGuLPqlPoXUDHgLOPEwf04TBw1EFYsJhG2wo+/ziZjtISNEOMJ5H4Sp3xp2csUxOyn2giK3CS
jSVciTfze1OAINX6AQcd9N0yy2n3uOD52WAWU3FoDbpAN6ZwJjSdzuJczF3fPDgjQWhcwsVwAcmK
FeXoOfRDulYvciJiVKGiCm5tehWoXr0pl85sOJhOm165mpE+FrMyo3qo66fKCLy7wgtEvGlbX38c
01bOh4k2fHxjD3zpg6l0bg+qcn7rrEbwRjtrqjXmf81qtdHX/Cd6//hP6MtwFpXW8/eX2pRfM3Yv
WcgvG1zOUslvWS7zMgqGDobKEFRZHulgb6ZNCSqeepfLuRxq+n+nMZOaHnIfUtGRI9uSIeV2NFE6
Zis5i0u2+hlr8E78rMb7a1MNOqTM2h9ATpjLBIkgVRbxU2sJWXq1iXaZAfQHI9fNHcwd/eRi9D6M
1WDdVYk/XcZpkX1clnT8MJq2eqet/mvrEdPXirXCl0HSxjkFTgguoULQE42DqXbeDOWfi11uZy+r
Dr9vPf7joQIGFjp9VYb5Z23czmI8YFROH9k0kSKkMWNoybRFPEN25L8/FMN9Ju2wwl04jX/vGC/G
VLSzbZOtOk1UM9Yitl3fF5t+8oZ3sGi/duFBovCd6MIjU/jFITQpXAylwwkMMtR+ajbvCGhw3ybF
a7eOc1K82CWvrNRNq9vNO1fv10HQenDa/6uugnbm2ffssTfGVtv3kdYw3qOtkO5qg4jYf3s2HROl
hEdX3DUh4ZwdRdJPkErEQ9TRwe5QS6zdQmcSntrlbcVd/fvD/dqCd0zUelSH2BJ097wF7whlAp/p
hyiZESOlRfeNIcgb6JkqNMoKrV3evtMU//U0OqaJjYeZpYGt7NyRyAOWj3AZhiintAYWHqAb0IPm
nTHGepr+Pk7jKDbkUkYmUOvOI+vxPxtQe4ohsgifDS1Nu8QPdgMwCY+WjlH935/Fn492dtHA6yci
ccoh8hWg4TXaMlHkQLQszmFDM4nYkeL194c0V6HF+Tf0PZ8+BcMMbkjz74/dnBboxUYeOyN12Xo3
dvkx0Yf46DaLj/QiKbaDuPfU7G9EydbU7XX/RJlwGJJujakM1I5ODz3I0Wu/TJOlHWcXh4YZ9+Jh
ofnNOwNkVSGWdxam7/zUs9/b0m1g9NBA4aye33G+TFyz6XmMsnGwqZtWlnAIP0XtNI1kx0zSzm39
ZkQAUrQ7s5zsz/oCC2ww/PYa8pq1SdokoGlvJe88C84/3Jq4KQxGnpAH+d/6338ymuVB6RaLU/ak
+6Y7Qm6dLaGVbH98t0fLnEiy7qx8o48u3C5SNIkur/PuEmYfrVQofRCkVtGjLXNgNDU6EgM2Qlyj
58aFP18kg8nQnFf6EZE5aCe1WlMQE24Y+cBQGzPtY6/8GA96BjXHxtNPai6TVfoOALqmU190MkRm
M2wY+wXhVLJnsosPw+jL68KeoapZS7HvrIEkVG3dxHnLQRD1Qz1M4TvFJQybdNaftE6oKK+x0cT0
XYrZuu99DBqBlxQH5ND9DZ9c739/t/66zLCtQKrGU28Hrnc+B5tk4gzOuF50SQhfMaSbzNcJtZ0e
kY7TMxgq418/khxxZRc6OsE/rDd/v5YBfXg/WIoeBUx8NKS9Kky/BLV92Vm1vSkC9/n33/DXFy6x
bKw2dBwBldIp//vxZBIodnBDTze8bEMTgc+RjQ6ZiXiDtr8/1K+3KQYyLBE6loiVyHh2myaDg4tR
NbwFfeVcNJowjs04eO+cwH88io0+yfQtjN3nl6zSKYV7BpOR5nb0mYQXaIdBJP7t77/MuTNunazz
IjcIG8EMj1317EIVmUbx2qINmiachuh2wCJgc95SmDGRADdOScGNr3tWcur8p85MooYw+B/L0n80
qO9oUC0EoNzK/yOF+MXT80ji2zcpv337WYX650/9pUI1/nBpXsC/sb/LTP9UoAb6H0SSsJiuSXC4
9Fdx6l85Mu4foHKoSnlOqAGMtZb6U4Fq2X8gjVzNPlSvaCQRwvz///dl+q/kW/OnTEOe/fln2Ybt
WTx3P71uKLh5HBG7ojqD6Y2w9e/PpTd3lpaOTn3UVCGNNqJHRzDZLtZGcur7itdBaLieOV725jxv
KvqvW0NOVuQlsXcQlU3n2olltVvv3mspbBc3tV7skGTW2yRxkcqNHWLyxJ2eK+KwBJlgjvUSJLVx
NFu93AwB6CqRJiSqQqoa6rY/0gNKIierucf9QgDKKtLNslCDzQroKCxWuwnZptMoSkUFsMunAZCj
7rdb4b/UnayOoPOI6M3c/SA9bwtPT9+oPEtuDHrbh3rOykcztRTvDmkT00U52zzTXhORqbTlBCgM
/15iuu4rboc2DZlblAIheZJcNd1M0Gje+5cT/tD7YSQsuC69OzUYwZWeW2LrV0nyuUwlLSirUIfF
A51WZOAzUKN1UecBYxgzFlggIHdN23jHrjbrvavBmlsGZdyQeXJK6oKI46m41fyYeDOSP0OoM/6u
xBASDoVwHjrdYkYqiOcgBMu+DPJJHge5aIeY1eJkF6l2wtrc7gpTYOBAzw8UVm+uhJsSjSdofufh
OA6PRtbaO5PO22USV05kt0a1N4Xl8KlyuWuVKa+8TItDWniPLDrTl7kY3J0cc3xHXiHvFlSLJA67
5d7lDbzV2mm+Jy3Fex0AX7b1/FmvMhkZrZUfaDqaEczZ+KPys2af57H7FedMMWP8NvMregSrB7Kd
0s009dWOKbjaZqnvA+7rur1wTdLk2BcwXXPMcM06DzvQqq8+uRdvyTgH+0WvJ2o5ppg7nhusaHg5
y8s5bz+kg0FkLI7vFw2CAyaExdGvtKZQFzQ40SNhMEtBPrL7axPyV1wzpumxFOgSdbe+YcjXXJWj
8SGdNJzZsDPEASFFcTc1Qjv5OKZuIMcFcAAzl+5nadOBzAyt8g6DNmTzHg3HosB52gU4uGEaTxgO
9nlt4j1Yps7as2v3N6Yh8LORNVwd5sEngI+cXSCRNi6RDeNdONvMo81tLiCgSvzQpI4s1S0zjENA
3BqzkFpcda75QsPZiy+FVU7pRWuUT27WefdEGRG56hvaUWaDHZsRYT45RaUKxjr4stj0znZJPC83
i5rkrRxMv6ISsOLl0q7hyvj98IEcb+u285nJDbuy8B557+CM7QZjl5R1cBobz6zCgDbuvG0xHt23
9JjycZOh+Ti0NrTPDyYaiYJ0ZJIIe7J1Xa/xTjXyDqnhq8vJbmeh5LxXql32sZsD9Ng1Sax/WlIx
9hu91ZJrMXuV9wRo3RSEaAOGvUOdPsRf6d3KjZMtQcgKF6bYiIBiDM0Dd65ThLC/EJAHnW0gmFAl
nTG9D/JXD4yjdvCJ2YHZ2pDMHjaMBWmYDR29x3hKcaWMSRV8rObWeSkQnXGn6LORHI2011VYi3G6
rXvP/jrbhMFFAJ1wAAGw8Oqt0jLEK72BA3JXOwWHXMpkdbdNzM5QK2HxKuSqQ9JHpresfRzxB0HX
DCSunSrJcvr/jMGbG49UvMYl5likVn9RlKOjb5tGARvyJi/ZMWlzb9jfT3vHHvkjqUZ52Dmc443L
BPSxHH3zonM1JmtF0wnihqtgBFFkuVfMm5mBZOiS0DTFW6co7R4Kh+VFg2GmEdIVP2rIq7mtzfJy
SXCthp3hNJdT6qQXcdt6+2bs7ZSGke+tzp6sJQCnHjAZ5a558r0OyUqNeMrvc9avxM12XUL/Ya97
mf7glaRzuibhiBtrdLTQ1eoafNfQ3PvKw5XsCvXJYeo+h6YVXMwWsTal6IxtMdkJQIt+keGyDKUe
VnKZv4hZvPKO6q7prLn70VutUirT/dDUhf6AwCzeT3ruf3DsRN7Z2HV4OdTlsUw8ecMsXduvzbGT
IhHry4JnBFANiE0PMhlLZ3ygU60/F56RbWUV+J+UIehQ9rHZHnJHTBfMcpYrJKKMb8XE6Hec888p
/YSTIxpFite0J2MGIVavk6zZ001ow1xZ9g5ZyHKLfJaUUtBnslwxpmB92WeqITJIq44cVTl4KQ3S
JxeJN24smTR6JKnl224y/YvMYokPaARtW6r2EGbD9DCx2w/NVd6WsEO7xZ81EsiZFjtkMeQ68gXW
IZsC3DraKUvjYj9blgBLrJygfVG+2V8BujW+KRBse4ft5K4wYuPgSmE9rdOWnRk0ybYlpH7PsKLd
dXVfXhf6KD6SKC+uBiY2tw4zi0u2AvVmSev8soAbGQkrxZXRMFRwgGQdykV9Fr6dXTLzSp/iZtCv
49hgm5dLl0qgWkg89Rt901SWfi0nZuSbjCf/1mGwEbHd716Qwv03e+exHTeWdtl36fnVwr3wg54E
AmHIoAmKFClNsGhEeO/x9P8GS1Upqf7K7OxxTXIpM0UTsJ85Zx/iZdm1o6zqzhCMUPgYuWMdc7d1
cYWuDLYkLV/GNqw31ZSD0Z1L7Rhp4SPEAsuTRa5RPNgodMWsgwdMGwdYrniaikDzDUb10DZj7VIX
bcyirAnrlWRdbQ0gdUAkZPcgVA8cHGtnS0aYPfmuGEleHyaL3FuU0t5CoiWb/1CBQgGbjG5GSy0J
fp373ll0kjX6Zui27BbMZzWh6JiMCIg6eyY08k2DG4i7ypoj+7P+I1EqzOMwum+tuYrPH0Xrf+v7
v6jvgfJQ8f7n8t4rKe9fu/i1734u8P/xZX8gMddcoLUM/jDtr6OmHzW+rX+iZbNJlrQJMATn+JNt
X31afQk4P+gKqLvXafePGt/QqPFBZzFOpWpelfV/q8b/GBn9UuPjggCet6YR2UyHf++9YTjB8kTJ
dSjh9G1VFGd+tBSuZ3bd02ylLw4ZIuxtF+LP+8n1yKZqmTjN6YUDBNrTOufeGZz0QmRdejX12Wlw
DMxpwCN4EfNc1og0tZPB5Xo2JqztxbIz9Fzb1mGlI3+p3V2FBN5zrR48n6vOHzowLUIUl7DK9mVt
T5tQ8jNFqLFuJPXL03hub5O0faIWv+/NmFVGBYbFMpMXhADaNsv566lcBq8c7OZYDc2TdFgtLggT
MJ+bws8D+4sYtbtEly8DwlK+FuJnCRESgQQUPwi8dGZncALtRqF/2FjV1PlaUz9ZCJM23ZohOAo+
XhGu3Kq80HitU603Di75rvODlkMzuAGSIPBbS5K+q1RMGwvpCJVE0261mm+aIaDY8Hp/4CNwGDTn
SEHcboOGvzXwIvSGyhB+FChspxFu7MQgArLMQvy8NbrcITXOo9N3/vqViUEmWuz2JNUphHMMpFvK
Tb3zzU4u57DMzi7J5H7W8iOzkA2YaUDTKkZkS33NL/QhTNKW8CFt162cjdrELYv3uUCaUOuN8swA
D/KYzuiYXVgmQSZ4lzfuvatpna8XWeW1GuapCG7OzkCBRj00KPQwbnsfQEU6kYnIckxky64Ckw44
iKOnr0/o0bSPlJ/3HxcJCGF0o0bdbisbPaCc2SzREniN5t6PDpJzADjozjXzPMCD9sIkNY66aNyd
TPp2W4b5dGG72H1xEmu0dvxdKE/XjEXTbV22yrdxq+MKoRZfFBdWn+VsnE3zmuv5fXLTlS/Gr56N
8QurDM79wr8BiJ42gxTFduyc1oN3ztesUdx0xM5W2UjutLp1vaZtnj7ON7swtNAZl1U38nnDiEvG
donYK+uaRAzLyS402Fnc5FzVZA1sHER0bOq5VMr1Xgjrbn7IIv7VcpIXhPGc/wkB2FCl8XXP4bIN
+57kmo4mj/vEttGJjcTJXaFhBkxgt082BEoPOKTODcfF5HA3fhwMLB8UCoK/WqX5S05UqR9oaAIz
1Zo+MRcVNtM2uJgLV97lLfIBVY30cOS8enpXVbslV6SsE5i9zVEJbUHO8zuEUXtJpY69hxyik14j
46nJw/BTm5tyHvVTPKKcIPKGq4zAPOTGRXrl0N9vdY0HAZFEGW/fMEOlm75TosbnITKvP24vPVmW
gyZhZ0xGxtu0XFfcPbtLLed0G5GLbiPSClRAuPQGud6GqVN6H+dWwN8kVgOtGbk7PEK4BEBcgiVh
OUuFzflboHPucNFTX1Fl+3OeuTtLxy7PnLjC4spxX69wbvFzbCzFHjKn67EK7nxjcZfDx2nuehji
XcNlNKUKDBTSuOcqNsXBjPioi+BnUfXSekNv8hIzfoln/jDK9D1M+f1cnbsH8nnsERrteqqQwYXW
9MWJMni6Nidz74zJiwhjQNn2WJyCVKXg87kj+kUTBwbDiD4XU55mG/+nbXGRFblenARYUW9Bis2z
N38uWh4OcoHENBlw1TMGglRrp0COg2e0uuXZnaZvgWGgIlFtcxwBtuGWxVQ8xbl2IJda9wWKGs8O
JQ+3kVNH7Ly7D3p1Rkvr7BeJ2LPqeJhUxkBwPZonD81i7I295C6yAVtS4/APYhr+8WxSLorOj5sW
AszgiVDc872jW7PhkmhM46zmNUyXznRjduX62gGmNdcTeicr5vxBkdlGtVacWLJP171N0LphcmjI
tvA+jjXubCTaOd+yl5xXo7Cocqeu3QoMSrQl1M52JoJbFEwAIUsCTpygficZZmPnfeJ/UOHDmOeJ
IbJ4J5vm1dGE6RcrYLWs7S/5ilxNYa+KEXDICmPVR1AyIFho3UQGSX1r9cSEK9YV7DD+QXvNlm+p
meUD4FY2mD5+QShRKOmTF5UwIpFV4hJAq6l7M0wziI1jlVzNYdtfxKPGKdSRZTErCqXR+4lWI/oo
4+6WFtEioNiSdCwMFKYh8eYUn9VE0nDrLySwQPWtGUdAH3sWyMrfiLp5NWINHWmoT+k77F+xAN8X
y4KDwZ3ILsADunPzFAzJphE1SSxJwz2fGIPYhryKtqxFgyt3LBe6Ix210HWqIsc+0jW2+aGbl048
zaTqeBGMzgxdgKuzxiNxAqL1nNbxtTlYCm4yAZriDj9LSmyNdf9TKfZjmvnz9HKdTf5W1yC+YRpq
2cxK3d9NZxlAwwX3SX+w43ner9pFIhscHkHOfd+UOpcVd52BpHL75z/3t+Xp2s8aCDvYClsA/XTt
t12Gi4hoRrLdH+Sq8Z5YMG30OH0rRoC1U5W+//lP+21z8o+fBtrRIqvC1XBF/zqhJfVGGPFS9Ids
5gJZKwE3DQREaqgxHz/pv03AXzQBWMwdCvP/3AXAH+meCyyR/+DlH9/+7//58TX/JHdpxic0AlyE
imIf8QNj9h8twAr10gxqJObrErWJojv4JxffBTRBwtp6HbGLI4jxjxbA+MTiygQDpljzW1xtf6sF
+MAO/HSrYKTXLCb85KszHnP+zT5bLWVKYN7M+KCChYQYCNLSZoyUyZOcIezBLlO92PUplUxMvkR1
FaJf9jLazTfeLFic7DCHt+toUT0do6UmoqNkQvK6NIoENshceBGxlJ3KOm2yx3hB91G2i/aW6OHk
biQ5y+R/m9Im9lcMg75H1F0+2F1nYwuqSYe+mPS4Ga+aigTrqEsnjCEqmyHkWOlVxfrCk32AzmMW
J62n+900lcP6PSkWta3n5hvTisZXKsqOxjBpszcnDipuU+tJ8dBDA5xsQFx0MBZm5BlWFF9l8MiO
fdbbeBf65jiUOUIOooKn81CLvYLltS2V+zgWrDrIwIITkYfl+lvNS/I4mS3FQ88woJ+nU+RKkt+T
RTYSbRvTEjwkZcZEfmMjCO0QKFNQE5XTtBQLQbrIDWeeo6wtvbyNVWyuMePMXanDrMuRDu6VIwID
v3WToLlfiII5dg10HRJQm3BK/aSRm8oYranaN05FZUVs13hVwqQBD3SwSb3CUbazVncPSCfGK51+
IAY9KmtivdMKF9Ulc2jCtRZPtmguJ38kQhbaI3pCxkrDUeapdIfLDN9EjOhlkvBQ0mPoCNuuoJiZ
xtdBV/KubRE2ZrUrpjcgPFXy7uKNfcc2iAPjGlmOmcvPdh7IndXFNupVUAD2Ez7D3tgQWzacEHkC
ziz6igOFKSIib7tPjrHB6NlvMrJsZNn4H6o5NDHjDf7OYaPFccJlOaXldoYw7Qkl5YXDmMcPQw1n
Sxyn+5QhGYuN6a6zesBHAbphiPoNOfdZ3UFVdxjaeobO0fZU4gQHrVhr3Eyfid2etGZH4dc+l6rK
XlVX47ty09YicKrGDtI5gZNtyDRY+8LWlRet3hE3pcO7T1DpyQMD828R79AOYKlh3gqOoIkCtAq/
hY2hXYaJQYLWZIo9A8Bia/PjrjJLr/YSldi5KDu5j8bUSW5QFdr4xJ2x36RKSy+VDImcGhUwTQdz
zXEYNfM67kBLMVfMjBNdxHJRBAuY2kRbQ7KjZ37HZOdoQNxIVoVYh9d02xvWCQd1+xRNafCNTCF3
hyFo2Fd4Z3zkQMVFL+3qAQH3tVnY5nm9sm8CyYsG8GDhW7W8IsBm3pBY3XmOXpk7J65UwxGotHd8
rtpNSYjgU4j37bKpjfFUDml2aDN8nnNshfskGdJ9QIrjJqir9k2NGMYrq3E/hwZ2DF716uSk9peF
dQAJtOT2icA6sT4xT1VciwOS9/GRqeoYbZJ0Gsnw0dXXHLsqbd68lOFmzDT9jvdoT4xAq78L2yHi
u+No7NIl6Y59l72yc6WPiwOKAgGNzl1pvcbnak258RSN36vhzOG9mQCEw2rRmC9djsOlcNuW71GJ
Y+YgQ9f1Ch1djz1mJNYAYyV7SCdhkhvAjtrpRegcJhOc21hRYdMOTsmuM4mD3Nh9F19Kco/uOybr
HjF16T1id4ydCZNvNZ/cMRKEZQUuISZRBRJLr+0Lh/kFcFj6o7fJKqJbN3PiwxCUxRs9hLvNNGIf
N1W+2koB4a1GBXlkh3LX5UwraEYmwCiz+VmKskK2Ns7q4PZ64I3d8uBoidyiIw/xI9hUbUkGDppp
rP6NKcS4yaNeEHwlgQ1PQAa+wk10t7qslrsSC69n2M34mEZAWUw9Ka9UVqXk/9nTK73H4COd6+iB
RuGlZo2Xmq3ofjKU/qSKJb9ZZOzeDJOz3M6FWe4obbtb1TTVJatn9gOyIT6prZu03pVlG/ot6WfP
TtU3W2NiS4BRjTC4eYx0L0p6sTFkF75PS6gdiqGwv+r4MMV24dLyFx45XtTNA+Uv4J9tAcnr6IzE
NdjOYF2xIA097kh9Z4RSPYRkhBBCbEYXpdtUt7WMhm1HE8yRdaP5O67w7rM5hDW+IcbrSKdnVsOR
bHMvmGpUj3JQR+Rhc48ysf6e57Huy6l0kTir8moiZw/4ft2clqIcz5ktcEWn7hUiQxMd80yM1lFn
FXwVaahQpaoTpPWDuk/arLqyK2f+rI0s35koRO6d4U7dYXC66VhOQWxsStyiHqFl2k3DFOExd8v6
kSlFc1v0WfClSgPw7VM9bSJmzw8Sw97KGEpAswyzH+DjBcVSkJBn8GlLjC9K6474Fwb8CHb/QOoP
QU4x+J2tiE38WSatETYv7ZbsqRA+uBNANwaK13l5OmKhT+Y89eJmXdiWhs5x7MYnY7LNjTnAlp8n
cIpeUgfLhYyl9QrbXBNeGWCEJpdt9KxEcx+J4GoPmrHwoncKrScHNmzjnRWnFq1zVd1jM8fgKmC5
QHIMnNiAnzed+rpsdjCJsJX9tzguurib/6I4pmpc5Sf/uTg+PI/PcfxzbfzjS/5ZG5vGJ9okRuAo
O3AjWH+Mx6WlfcLDYiB0dQzG5GvZ+qM2VuoTOzJAuGxKYL4wBP9XbSydT/RB5irKBcLxd8fj5q9d
JDRdwA/szKC5wfNADL72Xz+pGlGRZUtihupzi+cNN+WStzPDQH7PNbXTPVUG1ldm5s1rZeNGjqJU
3Cm3nveFQZInNbJjelnLgxnYdjZu0Rh4nSsq32QhDFtR4/vgYacGJGEkvk0aOsSNQGl6LHkLAyth
3vbhhVVCI9Z4tT5/uGtLNad3mFqXA9lqLc8Y0X8vFrE0G/AYxo2Y4uhmKjK2SVHbjShqqvnZ1qM5
pn3nsHlRyBoaYW2z7OxMqy+onauXXkXJM4zZ+RbBCasAJ5m/zs3SeG4Vpran09Z/566SG8of4xii
xD6TBYFJUcTxhtR49dCzbkv/op/+aNT/6E4+TsEKb+Gs0g45xP3+egpyNCyJCFoLZa3uHk29N/1K
TWzM3XJaQ2BU3dmbWOXubWlX6lSMio9WWU7JKCXVhv0SJeRg4ew4uohoQG6a0bUCfPEm41Q8FrXZ
3kWzmHwzTggaYF4eMZDtsi9ZFjj7MGLm3rd6eeM4zUOXkTZirqGi4aiQCak9Y7e3pLbql59ukv9l
eOH+qvnkQxOds17AqMs1w2AV9OuHrmDLIHCois9GmQdf5Xr2w7KUT1IZ5HPaWnPsE705oqNgGhkV
OeAg0S27lokpWxgCnapUchjQT003YUGq1Vjq5udg5k81StPvqiolKR9qvIl6i6kt2+Fb0wm+hMak
MAjAoUgLpoNWmmmHuBih84hGkHQIbXcugXcsWs41rSN2uNQW/a2w+hNyJ3noiDU4zKw4MLtAuAIS
m/qTyZwZ9nGEf+hrVrnJhWGU42scMYVBbTK+Vg3k1I+Y0oaRPWncYLFoRXZdPE533JTptT0IbqYW
5WKqk4sYJxhpg8YikZZ9zqVjgHSKId3Cw4+BI5RYnfYa3aenYgakdoGVcyo4S+QKx8kVyWXY4yjV
HmeoOd+drMZ8U4wNcdqm6dYHbFZyV0Rte8DuFV9mXaddBYA1bp1CDldmWvPhlM7uwK+jJTnMUGBc
bzFCdSfibrppO8kBVdiJ4sVh02Gu96ZIFzYZY/toRG394mJhOxlG43oa/sXrP792fntmscNDtmdJ
xK1SZ+yl3FXV99MzS8GfCki4FHcRqoIzzuFiLyQmSgLpnC3Rsa4H/o1rpymXVzAOAFa6tpo9qHrR
W0L+63WFyumi7rT60a6NaptFmbavneoJ+QBD/97KH/Ka75IOjYm4btBxXHHuT2WAt1LroBy0Zjgx
Ty/VHU1MalC98FHnXsxXwMZij8fVvBtQRawPVCJPGrPqJJsqofwYYyffcxqma/YMy/njsq0S5vZx
bM1XTc2sW1Zl8F5mjvbkiLx9XDvLx0IsNXuemAF4DnYi2up6Eb8UWrrnlS9yjwVKT9RI3wNlmZfU
9lMngkqtkc/q//nhV+vI7Y/n1Xr4VzsI6DzLUiYy/fXW/unwjzVD3XBpsLszsBDbDnXQZm5q8TlZ
XD6BRM/EPLYV98kcD9CLp8qtCH8tomnvQEHGcME92G9UVgcXTjpUzzQheApcLP+hV6FS/Ep9xofR
VCaPkK/F7u9/AAptfi1U0gQlfnCZfvoAxZK2kNRD+4700s6fEgmbvQpDdHYBbsi24DkTrAInCL88
YoqIhSpbrOpZCzTzUo5WgPF/3e4RLvasT7Y8WePEhFdhRN/VmRPcZ3aNxS0qwszZ/Pnv/vE+/u3g
w7K3mUwotsV4V347+HkTN4sxmndlb4IdGAlXfudqRtnJeg4fMfm6V0xfppvMHop9h+s2ZsNbWEen
iocLWETsLFzVHDNzxMxq1+K+Qxazd/GKsIUk8uNmcdr4hJ5ouh1zN0MG247t+8BrglMUGy9tMPZH
DYA0+JwVoNCDaSlgNhLXWiVQCiYFv6KDMfGooKschIPFvYVH6CMntXZZq4e7Cuz5V/Any74Zh+AY
g3zxl8IuHGIy1PRdhoRmbVS+ArHbSkl/0St3p5fpi8ybQxvpRb3Rid89AlkOvhbMmfBq8tb4uPUC
V4RvTSCiwbdS/mNfpMEFUkN1xw5wBhWTsJ5yVR29aRV47IRN/FeuvOG7keXrE2Q9NIkdXICdRdek
rRZLgwiouyqG/TmrPL3XKrWEG4MN9ZOdJ696if0X/eJ0TJlQeE2j2PYYmTrhY223pp1N1wmG4eIv
LgSKxN9vQ6S+1AxwB82PcvC3soFnNTvCdKjvokx2tjdjvGdluz6bs3ECYAb7y7OjgA8Ay4Ngda2s
ni06w/MCHyL1w7xF4FXb2yhLMvz/Gdkfc67FqTdgxM6hcRTAw9P1dpW29jKPWvbA4797UaMxfO9j
2xBbVBw5kszIWYcElGNXINhNP7dJiNxMRqFDktHJ0txlEvQ4rvS8PzihmLbzUtlHCCwPWH0lEDJg
N+SyqXgPM0ScMbbMEHB6rX+DOcMjMi3AmpUs6ie5gJZdM4dt8pcoOdfzinG3e4STfTBFOszbScWL
7+rzo6yqYgvzQkdTNBN22SbcEG5ocLEmqjU8BtL2KwzJfNsMQ3pR4vo8LG4GNR/wQr1fahXR1E9g
y72qT6MvvAfiL61I4HbSVesIAOI8eWyZqCybLK2t8BBRt2AyZZpCwkNURW+CFK47MYxrgYOH/UJz
Jl5VhC9uGwBLaK8jdtxYB1kJMqDikZeVq+G7HRv+HHT96pmNAOERadMaxjZjDXkfhl17DGDzGJtF
JvpLpAdAgFGQVOmlwFlJ+ePO57CLS+EvYa295FnJc7VDhLWdebJrnigWeQrNMb1gbJQi3BvL8lIY
JMZ6JiP0J1kuEJBnrV/OUL0CeOd2Mt011JYHtHxuuGnbZXlXVuocAYEIP+vzlPGCFchwAxxg9FmR
up7DHhMZJohZ9uuCqzCuqTI3E9TPjtWl2JhVoG2hDmTvLPjvyHcnrM2kbGVwBJvCy8Y0v7btPLpV
RBR5vAxcjow7L+ePJ+p/1z5/0dmujkReHv+5s71Js2fyFp5/7m1/fNGP3tY1Phm6ZCbPy9Rlt+Ia
f+x9NJ3tDqtJrEGaWs0f/+ptdXv9P6gL6KxXd8k/rR36JwvktUly4UquNW3n7+x8EFX++nj8oJrD
3gWjDQlZp8/49UXZIJQgYlfWF0bHEwcq0q6Lhm6n551zhuVHkAVoF7RbHdgs008bqxcPUWcmbxnK
KAb2k2iqpViFMHGwF0QfN/dMTLNLJ3Tj5LaD8YTPP7a/mjzbLyIZZpfdmADiFmmzrZnU5xc8O9Kd
lbrM0IakOCVVLcqvRVSVV8PcVwvWe7knJnLwwoXaYUf13LhfB/QTzoFNU7hpunq2noZx6gmPRGe3
tcs4OiX4Iw1fJ7gOmE9YOfHz0InoqW/gUBzKpkx5v/IwsU6dqUVduBNZrhlej4We10M+xo5O+ETE
Os7eOXW2VNdl2/Jxo6ltbM8uZoRWhw54YjP5OVNHkV8UpmEy+Gfk5yqT6TprjWuHpxLC8iDjeNYA
KFCZ1zgGXW3c9sNAAy4jQlRfAfm14+KnUWyOOPVZi9DBF6R6ADXom0XA3+gLxLuFo6hhJzA5iD8j
Z6kNuYXuYSxeag0hkgcEqSqy0bMnfbkkb0swz62JizwPZ3M7hCUjQFsZQ7hXKRDUaxuq1FEbmf8h
fA7wywh9A32pWSFpBa89MUByr9TnlIzaGJmWBp5QFuNZojDfWe46TMCe67OuydAazAACy7bewW1L
T0yj9X3ZGvmxhDe1T4uhhsBTlARLDVl/hM3r2X2U7vIcIrsOVuvGVG7BbBL6sWVgvDU69BkJ2L5D
u7jBucnH/DEoBKTvlBgG4BNDBR3FekjLPDzTt7a3YzTYZ6bLw9coh+yOGB3oZRVNZ66HcjczWPnC
CCa4JdFkZiBdAX0f+x7Ghw3EEUCnTaZwGnyJsDEcSN0VjE+Cqdu0jXB31G36KaDw3YtExMtWso2a
v+AlMrHeZNZDbcniM7uuVG7yIAonz0xqffLAOYD+KedlORZk8zGr6LBB9X3RHUdyzvZjloZf9KrU
L92FUf5GVuZ4b7iScsKhG062PZvSd1TYFrQye0GARnZUgWOnxJEqlXnbxAt6w9G8TyhR2qQ3VjrL
ZJ/kTKUOwGPJSBRp+uGmD0N1KaeJyFzD7ZHfz5zrPmuZWmVW8QW9SLEfArt6GVX0KOtm8LrMcS44
07k/V7rhzW3lXC1zNp0Dq40uCmNqkOroy1OvL3m+c8dJvSZlo10KalTMu7VuX4zZhOQmqb4Pbh0c
pKnVPuMswg8DOyF23emfNAuY+Zwu8aM+dvG6aHbSx5rXJ0tS7jDSRZr9Ot/zXXvsdnHF8rNkJ0d9
nu1ZXs03hVuYF+PUQoIEvMV+lq8VNzKBdrOYCx4klt7xLVyD6QJrDulEmLqxTUjUOZHpTFBhOoGE
TNSzj/+zAgDC4ojj0rHqyCIvFBrQu3a8KCEmbVmQqC+GLfSbTjQP8dJ8Tiphv00mi/MNOUpaujFH
7H3o5Zbk3m4S4zLXZizDnVFtrKQNtnYcHhHH2Ffz2NTcGn37eWFbRPijVr5aPW6EagRLRg7T8lKP
mDFIUcmmjZuPFYvB0HgIQYfQNmbK2Iw5PrtlccMrQ8n+a2cK9hZZ6AUpovUFUs7iJVNDiQ7LqtWj
+Hs2gqpph/qk+mD0TdqxbTT0rFpoxg+6sHEnTOM4nxQgMuLZrRHhW0doNnbsSLvG0SB2MOEFrjXN
IVMpaVtc5p0kT7yfJCF+AE02WRBjfInyEbqqirrpDnhP63gE/erQBwPnJR1zUmH6uIeI47A+9pkW
YAgTAOXKoTCfe5PkP0SiDPaIG+I5x56JoZcsAhj/ToSMbDS0K3vFp81StNd26PYzFBl93IIGXxvT
ODrSwOHcq2YJ6FIqgo/iNuUSNUuv06ZXog6LOxrU+RgyUPT4pvCnk6A9mmnl7jsytk9ENSJGdirn
Fe2Q+V4K4w3rijpJCHuslOocc7+b+HXDpjnO2cawGnSucPOlJzYmVoK++DXSVL2ptQwH7jQ9lFrz
eaoXzXNkE4FsoPONSb7ZxZJgLQ1j0rmWTUloKK5D1HhjS9p0dJ2lQ7gz+hhScNHIx7g2jX0SmtqO
+/01Qdl3h1JvJH4pK+9DG9eIpAO9AGiT+00TmNmVCSnRM9tiQL6ihQcxTtgNrNxaoSayPHPl5tsC
juot+KfmrZ5WVIzCFUbZYzhfQiswLvgN561iTemVZmVWVPFmfpsHwiSbfSaSuoCipZEPtJ1bLT6J
hjWhVRTkL/UM4ox+6r6ysou2mUO60WCn37pWviR1hdON1+NpGPOw31jtGMEsq3EztCV84TxC5qdP
7bskZNvv5dx/Ttgt+ljCV8+Xk+4Mp0TFRYj753iQ7TUUdZAwLubKmenPzRCi6faZtLD9MVTueKKJ
QMD3l00MP80sxpeGTKtv9TT2u3B00rccK4o/LyyweOx9I3Hue5PG7Soqtj3NTpl3mfwpwL6+mdHi
HIC+akctySBTxVLtVBfLE6vf5NVNGPV3WST2nVmwc2yD7EwKh36h2iTeVV1SH3sKEuTWmXvApdpC
gaPywhZi7lHPDZdxXgL7yiacUp0UYkuX2HlTVQ6+Trzda2eOscfvfg/cTnr9HFmHcdCJoDKvGHhU
h8LAJMmUVe2AYL3WWnXue7TFRVyskRbLnke0QO8inoiFZkkfWfEuThcqjIzNcKqV13bVnIFt7d2W
7m7MkeSwrdviIbtzBH1TUi7hrkBas6ldjJFWXCh4RtFFi31tFxjZlZ4LoIbtNO4zxPwHY07C7QKI
W6TF7dzE0Q7DcLxZSsGGMJvPpM/h2IrBAbddVW67hXaUaBH0nlgy98WgQwQTtn4jugnylyvs+84A
qLkkQUn4mvxeB5bwzTkhzpXYsI2KK5MXWRrxPtD786ik+xrnc+0T6LzKkcTBmobibBH3yssYucZg
gtXX3Ko/TnnjHpIixDbHxPYi7+ZzFpvfjMB++G8v9f+yJYQ6tArb/nMv9eV7k6Oi+7mV+vE1f7ho
cKf/CEJCurvuAv9w0Rh0S+QXEJCyuuH5ST/WhIb5if+AZF/Z//LX/9NFo/DeQJtgs0jCEV4b+++0
U3RrP4982UNiWoNzSp4IExFDW///TxNTjAn9EpeOeXAcCog8AolHQqv+FzOtX3eR7IBQ6PEZ142Y
S4f4ezZL0A+10vG9HvqkAOk1sC3bOKTWfSu6YbrNiTs5ZgsSOxThXfX1p/Pxvyyk1vP180f8+OGU
TKRic9hsDvavHxEQXjbpqeMeQsOFE283LTjUSfJzV5Zswsv2OXTzihjJIta3+C7j75PoqFmtxtK3
WSMpXHtov1BaMk+vIQn3qxardZJCEFsY8Oycm8pvw3C5wpgf3OUW+9L/jw+ByJKml/hfslh+a3q1
xqhoyBb3wGR29RSUyy4XgE9je5wfah2DUSBTG7F7juNBasD+RpcFklnSRnkdvLpbq1DTbdliC9EG
8KOuC1Qa+1N2JGgz3a0Eo/uckJXdTOocOnDEj/s//wzrwvmnAffHeWASzFyTfTSt9m+C3xYMdD/b
o3tAhzluGw0vJAF9M0z1v8pu+TchM5cb60cSQmBJmP8GfzB5u+aV5CcNOsoZRCCcPAt4cNPp9Vkz
Wbn9+Sf77Sb6+GQEZ4C14BJn+LJegT/dREq2RUGJyM8L4+bMEwUXbx+6fw8Rtv4UcBZE1QLAdZRu
/Hb83IbHBYZu9gFqjPcOR63SXdaKrXP/5x/nA0j325kCDwZD7iNn6N8eCqRIKXfkGjyoRWbHxcZ+
FLlcM/PMiZtzHYI19KmW4NkuvYPE7pwqEEpbY6Ur49knstk063Mzr0sWa8CbUcm1xB7ovQ6A9oOL
MsN1QW7P/DBAsp09fdHAPofJyBDhA1cMWBWThcNbs1VW+zhacMP//EPqHwLzXz4lC2pJgW0rcFqu
a/627QpUkAHDbqbDSOG1QQdLEGZISQ17Od2VaUuloJfv8CfFaiIHUDrbySHLk343yKrbpVXTXONr
GknjKEiqJgj0URLMe20ipP9mj3mOps/yG3jzn6Wbsxtsxkx6DR35PdpHdxctBOB1AMIforCAt4FV
Zs+MRyZD+I3HWXqwOhPAea+A8MYMcpXlRmDZA+XruM4PdI0z5W2c+xEK+z0jWOee+jk5JiKhQJY1
RNs6DF4jXjwATtLwaOChuqkyOdabYbGNU+7gHRkCatRqUIzNDXLorB66r9eRSnRIGTl96cjMzcgA
x5wzixuTAcrbzIRm42RR54dpp+/NwEhaxh6Uv3D7Lfw1i8EcTtfuwVrnj3YYpe+VjMppk2ourJVV
ssokuNTwjLHYeLIdsCB2rpoDoYbZMZmT6bTgubuxMvLdOycukJnl8XjTd0X9UiSZ+YxpzSdoFs9e
kH4XqXCuRJEJarA49IXdXORs+AkTljVjh/9h77yW6zbaNX0r+wbgAtCIczYrMwdRMqUTFEVJABq5
ERtXP0+T8h6J2iONz/8q22WKSwtAo8MX3hCfYZZUXzdJiyHRUiMRmypAclZYH+1WXprxRNQLwhhs
IAsnYTJIpxIf/SwAAbtkmAcXVXWJoap+b5UFPj9OZa/XzmiR5+kJ9LXN+bKV1SyObhNHZzDPxZOi
4HArGaf6bLDpN3dhLx4Kj9Z8y4yYENUdOyGeGizjD0Xm4nrXLlG1MS627zHjGLcNOFBezYKny9Kk
J3yIDlkm7tykGvfsbdPZUDYoIVvLEG1U5n6BSU23I3DaO63KqxygyNaakSeb0hJ/4aQAXVMNI2RE
+7x1MYW1U8/byHhJ39UyvUrS4FO2aPuUARi4T5xVg8YOwBgUT25Vwx5UPQA/GcQfBj+JDkIp5zJE
v58CYhFvGrQtITYKhJplZ21QpUkgDVoZWxRGuk71EsU3y4VFgfVYULXB7yBKPlptprmZJTlgd+1t
s0I0zUbZ3cTkmuZwxzGEl0EaBVj0zXm+G9PAPaq+ty583OsuBwsavVp8/YQjgH03YhcSUU+BJkB7
WbY3awNsaQMSvLvQuFmdZfVSnhyR23ACWC6BBWse9bPOXYtx71JC2qAhgz7/kGFVaMv6WU1e+igT
Z/wShL1+FJOaz6soms6KCWW/KW3RFLOt9tghcQHH1J7ORoi7N5ZG/A9vFuxeN7YMe+eszpFkA/fY
BdW+stOKAvS6vPcQjTug0pSd2QW5lVc23lbqMYFYN+ZHJ+jqy9yII9c2ioI+Th2Xsh6LdocaS3ce
o/MK9WvUqHTB0ul6uzgkctLfpkHNzbUNJ3GXtAQF66TtjWpc9BtIKXd5ysnhrPBtXHts9/YEvIUn
VudhAPUUtmQBjdrWF+tg93+vtI5vXBbqtc7tbtwVCTJx5GnN9NWRasbjGjasllI9Z+GSHmBihx+y
fKgv8fJxHiyb+IIGVYYLOXCcFx8AIKr2JkhjXACTcum6zeigxwoCt7hHT717lFLAfLNXoGIWcaHl
t/pYYrB3NntdcUD+b/yAF08JdABLMRiK9qmUsJGl4iHp869XQdnQE4497kuL9lpka3Ie9iihQuak
dI0FW7GTmPKi8TLx5FTOb2K7mnf+CAHwhfoJoCm9WcM2gYftgabZunHZ//1iljEqwZ0UY2wfJ1R1
twmQOAROKHLShCukj3ESVhMOGwP8xT6HVehCAZVBCbF1TM6JVXxspYN4QxypzieIdBsHYNs3YuDp
Qz4p9vXG7c4RkkPGgtjGPTpYfx+pIPsXg2qse80Fsh0u14QXSYgXj4/39ac58akYJCj43dthy/8V
6XivKOQAmMmcRzvyL/rCkTTyu+bYS3edN8SL4sJfUEHv2BQcNYpr8nHv0GawYKrCDbZTKbNDI5Js
j2j2g5OYwvMwoOVbzP4edPatSmr82QvQeEfVTjo7Mvxh8awoiGSXaFV1cEY1LJFhqal1gdiGGynw
YLiMUWTCHmnRPVLYketl18vsLtV69nK8/6f594fmn+OCuvshEvpF2O34tVFp/lPv7/vf+Z6wRvZf
QPjgHoWv7T1BqvE9YY38v5Aa8ly4FMGL7C+/+p6wGqXVf/p9CMD5oUeuC4TIYcP9N/kpWdqbtAFF
OGQcwMsS/nroc5q04ofgOnabGhR2VJ5ElH6cEV2hsQcxBu7kY20F79RknYBRd49R5TxiIwAvJNQH
uKTng/FlwknDPRMzTvG9cW2qndk/i42TE3tGuwuNu9MwxQp+D2LCTYb3U2NcoCzC1E+GfXZvucYj
yrhFiRIvK9py+SGx6mU/AjOSxl1qXvNdEQ3VRT3nM98GpFvMXYdlu+vu9Oypcxv3t26qbnTv+pt2
wMVKYmeljK+V3yf+rgnncIsU2vjgorC0TY0TVmY8sTzLuZuNS1Y/pH8HXgXih8bbMTReWoNx1ZLG
X8s2TlsITWBwZNy3sM/Ye8AgR2y5DKx1ozucuiosuxoUwzYTfnM70snlM5FVelEYjy9h3L5Qg0OW
3ziAKQ8vsNm4gs0ezkQlRmGDxDHMM95hANU9I7Pw5OLaYKyxzlFnh/6TsyFR3s2P61CnND9ieHhh
fV9hUTZgVUb17CYx3mWj1S0nMpd5s4SNcx+3bvk4TH77N/KWB1ScQLEM1X2BeORlXkZq3EhcZAvM
VEpodCKd926E7l1Xd8XjiEvLHea4KCn01gB9pcZ6ok0n9Q5ecPKOsNi/8AqNjrxV+eqUIr8Eo7fN
rxXKWI80PbHe8YlqlkoUVNoIVzhUcZrKprja97Rzzjo8eu/CeUZbvBTgOkp38k+DiNqPIXpwASYC
U/mhLmpUKcoM5CbAtmuvflHZd0qKDandqsuwc6NdmwuHwYvd0UHXjLOvd9v6XPUJUnPEKvV5Z60j
xfeohsidl9BLNk5T5agfEPobeMfBnUP5KXTR9N8tSYocnIuHmnSRzY9EUu2XKm/eOUXjXItgaS48
o7oORFN+alsDFaI0YnCd8PQOlQQzDG9+udX+hC7DUKT1ZgQ/u6fpwPubAWNBACN88lFR3ikEjZ46
WwCiwlrqsxqp1lhCjHKb9gOjqho+k3FeM4DWFjO4fKXdgiQY/kxo5Q58ZeiOILTsOtW3LkJBH/wR
TY6T3088fKdTfQ+Um3usGhvnEjT3LvrGDwpw27yHNir5QgcwTbcvoTLu9VQBBhqq9mPG+jvmAak5
ui5UO5IlBwkbGgh069T5tUar5EvewQRzYDV+9Re13CZj09683JlE5Do6UMvl60tAeXd062mN+Ip8
iZMvuvOMeJFnDdW30pgj1D5HYS+hozSBxgc1Nw8+GHMYDfb6fbhUfLCEu3bmT2wiO9Su9d6Oe1R3
Z09+eplp0h+4GqpjE+AbWv8X+UI/CaRRczMDMyYITSW+YpgafcAiwYWoabwDh8oL75SfemdNkSz3
DuAqNA/oYbjpGHqnduKljqNXn6OPwVtzk7k90AUdvgxhll/XdHduIifQF13iuPcJjfP7ubPIG5mR
9BxjP/kEcLDbzH6VgYpMFr5oirhiqOviUKaZ9a5ZEQ9eA5wmOqhEx6YcoMeat0WPG0W6VNMw64uk
HrYOZbJtIxk5HXr+pdP1XrJBOATCUZDy9eOMdSrYOWb9yn/wXfwYgQrdul2Tb3u5Xvd1dj11+na0
+oepwx9j8qkT5qCZqoDsMbpyhxEvnfQ2M83LciAnluqbP8cXsWhwLMOFonbD+6UXBzFlFH7WDykA
aST6lugyoDuPYRuwEOQL3FY328itm/uBcwzcqkCe3BB37nEceN870rkOJvbwwonQ7AxbsXVCRISp
zV/nC+3eRe56+EGiDpNbqATLjbO4cBMpa8BBjoLsGDQFEibx5NGPLjAyajt1miYUOgYEQInklPOl
pvFOcfRrV0/NRQcB8UKuY7+v3co5Q636WTnDqY78O9y4SmDLo7hxSeo/Qrx47K3oWY8othNtVgeC
Ruq3Gn6aVQm9g+tIlukazGIbBM27UXgeUAW5fqkmmr0ImG2Msy3dnYUUcGzP47DAfAd9Pd9fecF5
4ByWjnREzrq4RN/rfaDpnWAUcVYsujoDyS1OM5vwzo7IJBbAmLSTRyxg1vZgNc3HzoYQu9SNfakL
OwQoPeBkogN75wPttJ2q2yJzQgKgvwndAsKMwq+5i++UN3f2pxCjrJ1TFA8DusBPmsb/nrXew+Du
oq091pj+YS537sWJZ2oZK/uBmMpTKlcqOTBsPHiqO0Q533VV/yXTQ7K360hfY2A644WQ0gnb0gKk
c1avKD8iQVlfNk5wDaSluGNawc8F83YrVu3taUDXDZgWS56KmvwLxvKEfo7bfu19FE3QlTkDLg6Z
o22fxrKBtx318U4606OdgACyG057UKk+mdr4jMPBRwQPj7bukvezA/BWiGKCZYhPEsRa60p5/vsE
EfFtwDIEDFGnj3BZ+i20z93g2NElsknpniAh+uKF/nQf4mvyvtCdiSFQkN32XqDP5yGZcQFD73PB
PVq+l+GI4DrAlq89KIavg1Lleayq0GhAJViiWtgABd58ABJ6jjakoKk42NdhIps7ugbAUrKOyEpA
ZZ1bFV23Uzt/qmEIfqJVJa6DAcsFnwhro5AA3ZWsInbyIcexLat9sEN4XMYbuKLp5bQMBeRiN3Hg
6/UrQltxNx6itKP7j1/YhyFYrJvAUTTfBSZlvERy/ESl1n4q5HgZ+spjxtRIhjQdIJ+Nt84cg/Am
r5vICc89v0r2SedXqFh1yYe4y4d7PJ1yuV/7rgYQFtfW9ZBG/hmRQkF21XT7fCmTLdigxttnavkG
HcW9cap0eD+rfD61Wdj9HXQDVqjshTt8PPCTCUH/Wl5LSzNcz4qKKAznNuvcbtjAWtiNpybx+22r
Bom/ok4OTe5E3FYJctcrP4c9UKBeJfNNEVj2FXmUQoikUUdQqdN2nCkmEDNcLTjhepZ1hGCF90y0
fpRKNe1O1hOmsXMHh8sBuJNnfXmoPHvYNqrwjmsDhSbP0AzBRnIDZEIcfJiWtyupLITgpufkmqIb
PeOw28l+PkWisD4i33ONOFn/dQ5zApBAD4e4DVL41eAXoHWCV1Om/qJWljgQXvJX+54TtLmpKQJt
WgNm6O3ZBxW0HJd5SXe9WN/pQITXS+6itRVF8DFrai7YumxLh2741KRfu0UfxcCRR15a7qdcjlQC
luXc9Ma36CUmZ2hEXeZpd+8lvr8Lk0ie6TVYLhIZZTF2glZWOHsQvfdxwe7qXIQjakTGLgPYdHss
wHOAsgpkt2MJ9zPQoh58MxpgFhyHDykAWnBrsZ1qzHnmUi9nC/Hvegm1Azc8mVaFv9cgi3dLRMUM
29xikeWGc3tsdhVsTRfe5pTp56yIwJ9RKk4a92QQX/jX3Fkgaw5VHRubpXF+l4Trunf02l+nEk6w
nHzvCjOfx24V+X5tg/s8bmglrcNwD1HO3ZVIYd50Yet/pvqntxJi8WcqWcPVXIUW8Ivpq0o19Rrf
na4iZCd2YYQ5lgcSxtjl9LeYK7mXcxh09ymhCpYG2JxpK/yEY0yCSMEon+Yh1TgQKg/Cf5KcV1Ye
UH63bZD/FHynKV+2CZ4+HJVtiS2Clx/tCMU0OtqUALyLVRBoY8XzBTbBBGK+QqIUHVpqWM8ZaHx8
8PL4XKcAKPfSMUF/CsH4s+1hZBUWvryc57onju+9kwhyDHVl/M7Gm8JUcSYIzsU0FGcrZSqjhurp
Sw/H27u2rNa/S2WXV31WPZOAptWeesmIcdAAk0rXSbPL6+y5qypOfaurvoRTYPasZBgOY51PB+XY
6iPhS7B3XbHcDyCWtsRA9yKX/o2Qa0rp1wX2gOxJtwv1ykob6/lDMALC6Fq0qdZyivBt0ANYk7oD
NLVGIvuMCbNN2QUtikNFnRsoQ2xU9kgNG+KAMo6+RKnNxjGlvnMPBCL6GxW+9iMAg/rzmjV2iyWe
8Cy2/BA44Qi48aE2Frq+MdNNjK1uz8a4j5wVQgWqaa0x322MDW+eYsjrDFjzBp1x6fXrDKqHlOh1
ulz8pgOSfyNfHH0pQg4PiLIYo18Q2S++v0TPAzbAy6spsOgxCFZdP33LekyDQ2MfrGDunBYchQtj
Ldwbk+FJ9JeFArbQpiq6Dyp7uk2zob0Xxp64MEbFKyT2jQ8eYg85Lt9JY2jMjb0n8QNNFgNspEER
nZWwR9Vrn/k/VZ8/VH1MOeZ3RZ9tUzbq6UvzI0zh9e98L/pQZ0XNR0S0wYyazoto/z9CPzZyPn7g
BT5IBHDAwLf/Kfp4DigFF3g4Svv0Jn8CfQd/gdB24wjAt09tlbLOG/3+3+r5v2WmRRgjhTFABcJK
WM1vSaWYCrcYU6zWRYTzvUQ0Ecl/PT6qKcbv9Rz3R3N04QEaZRQ6WS65fynispohw6CuFpoKukau
xESMUSGuagsOdoAy3ZClNghMCrIIuo8o4C/JsYiw380v/XSeED1c+dNkPCVkkbH33vYnpngKeK/C
vA6jQWQ61oJoP8S1NrKoh0wQyqpzsBb4x+F+jkehcaaa7I/0dhLO6QDvWv1OdiutSRK/dA7vsMoe
s/gmz5EkfAVKIzkHatp/QVCXr3DqUCOys03pBETfrZn+s2r+sGpiRzDP/t/YHlxpB5U/D//VfPsv
VtBYff65bvr69//B+TDhbeqUiFAFZv0YAsQ/OJ/wL7gUUYwQAA4XZqH89woScP5jj8kaGyIDqAh+
9U8ZNUJeACwBv8RmwwVq/W9W0Isv1I/dbiouPiscUJHHEhfmyX8so2p8sRyYwPapWEhn0m9lat0s
OjkjU9/Bkj5VuX3e28keWtAj5sgbKfo/YFiMAvFPABBzC4jawTTimYGymN//UMmlpBO0EWchZAaN
Lrb3qOP2sgcsWVeHtHCNgj1tprilGuWVyVXbpixm18MRwv3oIcm6IrCPYP4V3L0NmKXDgBp9iz1H
l6FJ4/kTWHS5s3CBpUn17KGbnTcAo+tsYxWfJBgG87841m28XL/v1+aYV/2mt/baB/LXDKz1FHIF
oijY6q6U3caNpXohdnaBQ7uoP+io2CjmBO6I0aai3QkVFXenGQq/XO88mMjsI0jZRtaV70s0DwfR
7/uCCtJ4V2Y14W2NYJYVD3dB/NERFoih8GntuYNKOps4AEMbhNuqizd2lu3R2gKlVG3VWNwvVgJa
HhhpARR/GtpPI7LIx7wcb9M+vEBZ+POaYg8li20XUB4OwGcTFOElIer6uVo8+1jIiHaxPT/XXor1
+9hf1j05Ymm3lAd6LrZSGhQ3aYWl+H8aMf8/yEGHXP53m8v/Lp/64uc2zMvf+OdAduO/YuDrbCio
KXgvGnqv2wniIX8B1ONExTQJtNEP2tuh8xdm8Hw8pJn4okny37uJz698ejeREJw9SIz8K38dA1r8
YSmb23FcxwfSh1qkB23cILB+WMp48+qqGm3va4YZraQ+uibC3s0IWHTDbhikqz9IZFeHQ69FWW3R
VPP9Z7zI2vrSIXPs3ENrGbPQAtMWImbIiFiAsnxo77xXNiJ+ekuLIkDbM08WFD+2dC3wbd+KEkUs
xBnk2JOnI9wWqg01dmuG4YVZ+L6UY4p4vafjHCT7OqKtf8R2BxD6ZiHKjxW5/gL64FBPsieF1z16
3dYf4GDOz9EKnS+zbztBxL++J9BP/Hl0mj5w6FOv/te2n6cYlf00zKjGkW2J4grbceoQ28XJ6+pb
F6hcP3gAPrk1NxsVz0OPKl3e/zC3bl/3+R8lRd9Q+7klyj8Q5uBz+eiNxc6bW4IYu1RNr9IvTmn7
xVXr5WlxvnpjR3U+I2+mw0EMBa+bnm4bIc8m0XMJN5J2f/HULL2mYxGOviXPS3vqsYZek3QddyuF
XMqVA7Dk9UMGtonOQrDCmb1eoXPwMcKv3u/Am/QjHaHfP9TPsDv6kwwywSDSoWBYA9bCz8OMfN6S
W0VZf7VnSwfv/Dq3mvuqTJr19vcX+rkFaS4EBxKSESEw0LtfpEp1yaZM5SH5QjmMkte+LZMCPTLX
ZoUvIpTezUzDQnC6BH5JIwrT3nC6L1CU+hOy0TQ7/+8p/nInNFSxXUVEHyjlWyyrI1Jtx4sMvkx9
pIJrABJyQJ+2slApOk/7YPWDfzvIHNkR8kYmhkfpyGxqP650RIOtsClD8VyOoJU0spQtllrUgGDq
zX+4lpmEPz8dGxdqsICiXZDC4ZsX6mJeUiBB7X5ZUArIva+usTDOzpKW6ut5Ss2PIS51MI7x/vcv
+JeZRE2YZi7/4ErHpvsmMgHQ2KsYXf7nhRp2tG5kWEbTfYIcD6P7+0s5v75CYgQXjQ0iMTbvtyq7
Ei0cADFu9aVHyhk7pTxO6vclbIwOoC4AxLS9WeI1savLJld1YO+RFivWD7JH4lRsqpINkTqcTKr4
TkoAnECnJmNlA+1GRfo0zp5H/+73N/3LiwFpDgnYuNM6tvOSbP44CRzqze7i2vVzrUlfBMrKcSG/
TY62/MemqYJG7HDDbIbkT4P164sB7oyEVUSeCSXs7baVWAbKrHzrM94HjruCpPHzESX7qM2UvXUE
xabyxDIpwiedlemCv6ZSKkbm3lrc6SGv1lnVZGZ4qXzGm43MUdToN1/4lYbj9YcAl3XxZgJzg6H/
skxi5GhB0P68WEgZWwX9tfmcRTlQBlrXelhv+2BRTKpVU2ycIKm0fXBtQe5nNfW153EY1IHWbJZx
4aX6mQlYyW9BTzRtjj+vALEzOR5439cNGCwiuwtl7zR4xH8yJqucqrBgptIC6nk7taLRPeCL7kBf
A/iXmC3a6rOMC7p6oaNNE3xYPq7ayJptMGc3spEu6Cs2eXvNg04eXK/zWd9dNufLbRt4svoaIIme
O4S1Sb/esvxj/xGKDlNTrY3kHo0GOMZaDqrxj0XftLLej8FSrh9WMFLTw6S6YLrvJX8yo6Ai2UEM
l6fhnbkoanDpCsZfQbkTFUoWOtW/hodp8GZA5EJjCFX7CChIl08GTp7wkRxkXgVmYVqy4W6Yw4rD
DKV1yRbcK0+mwBjTmEtbOTQrUnkxm6tZqW6DaxFjX/exI9efTok3dWjnevSIjjNKhPVF1ll6PIcN
ho74dokSs/NhveToi2jq0TJFEw2Jp4J2feKy2tqoG7DTaLy6LYrT9wfw6abxqDVOxYHc2dQvGFDf
rpl+/ZKaTaysQps+bNdDCKr2edjqSiKMUkh0d18HoYNarvYCQCeSC0y5Zl7Qllh9xmAUkLPVaWkx
czrXouGZ0tdRxZJtZuR8ZCX5wDwPWXFel2q0SsjbsbkizEmiNg0ajWFpdYiW0I6N3kyXJh44tUQB
7qtHSz6Q1T3SH3SXDlKQXQabFlsz1tRUxzGzJnXRtAXAvQCm/YavNQKvhyEdikicW96S42FVLRNj
2CDuzvV9NkYneRfB3GJM1nAE0Y6mZz0VmEestYndEO2har/T4KTNQ0h6EctVJ5IJVEljUVLMIIRP
7AJ7tYqJh2kQyeFOFAg2fkqRFhXTOW13j29pEA5lKaA4FvGTlQ4hZ5eCaM8taZ6eP5xHae7FizPh
BdsgDFmCOupIk3diRcH6REVHcHso4UYmbqOWA8i7p1bmP+ajxw9Y92ok6jYSmjLPCNKHERzh6TGc
axSaOVcSAnonyktQswCFBGaKmtB6emijmv92ToRYF5YHA3sDoeNKlOHNOetcK40W1warKwIx2Qll
ljR4Ab4UPiB+Whu/J26ku9U6YnoI6UwwChmCcr0+IRrdy+pqKmFOCqifEMMBJxKLmVkt8lwNu7aI
V8c/LREG62on7QdAjDnKBigbhmZnykqaxofAtg5gfdNWHAYcLzx7x9wusZOc7Ha99bVemP5Rj32t
t4f5i5kBgcLcBNeB708GfWwPJS5t+IqL/KZxMoRqN8Tq5g1Tmdc26BbW8mSd5b1tSmaLounWb5eS
9Hi+KLCD5R4Tq+fddB5Giz7OEA7Gu7BSpU6bd+DrEw+Ud9/EuCXCn/ZmkEaqYbvZDyKVutum7Ygn
N/3DIFpQanMDkAOJkKMP6zwq2GZR/Z59C+c3NlvNM8cS4jeGYypbsiy9hPODivD1sODDxeTJpdlS
wmHWXXsoNB7xlB3GhQbslqp3V6QXDe04fte506ic69UXbJX0IRmlHUrUDuIIi205Y3fdzwGaqAdZ
dyNvCXN5l7Og0RUc+m2MbCmDNDL4zFw7b5NhOthDO/NJUhjaEptBJWZfKuypWu7iQZqIMPPGlO2p
9ZaA8Rsyi91hYhRZC4479EyoqYOL3pzx9juNDp1OmelR2a/cOI6QI5f2HDC6NPPpkHHW6zbklK8S
H1Q/dcvSHLLDMHZMxyXABsjiUFaa/UFHmeXdoFauAKOyRfkAVLqh5pEiRCzUho65CbFsDMD1MxQE
spHveQi7vhmcuelEA1IcwmYX71Fup/WMZiBmExRYsP/edQieJ3sP1/PuXdItPDyFnpLdHkBayB2H
EiPsCQnoLGRhS/xGmDxRjvc5hn2v0xo+gfmd9hrBxF3zxQTOQQOpADcgK+LQcrDOY4xFqGI1b4hE
U5v1iZ8JK9eLYNU64NucsL1GLq8GCBIXakB7d3V08Mmq51K9s6ulfIhRuYPSr1SXd+dB3UK1Cppp
bJ/bijPmQqWV5V0l3KnAsgs16E85e+56QCenKb94slwVPpdBpZ5mqDjzDXoXmAPi8jI0F63wYTgj
nFHHxk0cqmE/HubZj6Zr1WUJZn50ZyoE/UqOVUS6BnTTO96RYpNfom5FTqCelAdGYCnQSQJHoWZd
YvmmSzfetMrSw8fYdUbvXVAO2ksRtsXq0sJEydUJKBo0nZ2EeZqkw9mQcZKV23AFI7nu4rxcURxP
wBo3FwuLA7Y0HlszoLD2MOE4LnY+Adr6kEqkmDj4giE871EXpmjmDa6z1Q47HARfFJHindW4Ifbr
Yegq6t9legpdMWCKZM/rRRLXtn10ZidzD0m7QOzeDGG5ItSXCN+6bZHa8N6PPaT35mi3oW67fQxs
aXlYhkUMV1Y/1Na9Z3n9+mGomdUbZHcD9X4N0Sah6T8EoWqPETrS6wJtLoTeEi8AaxD7BhAJptGL
qmYTF41wkeRSwAwipMxkVH9B96UxAtXBoLuvsfThvm1H3GRCUEa9PwC9TtDvxBiosP0yOCYQ8oNr
MHpWURynoCWszb5muLAOuBo0EUa14GF87EkCOt6DwDVUuTyMBHP3En2DxkgC5x70BqrSkGtyc6C2
laha//2s/bb1dm0yq2QinrIRqD/pycBH+gSHw/ag4H4w/2tLSSIoJaDlcazEbCQs7g5lFs5aDnCW
A/IyZoeDOWkizNzCUTI5SF3OKXgDgdZ/dLHSdSQkxcR44ujxsdXilBlqlGjXow5DvvMw+o2J/oK+
MJlDKB2Q+FvtTdgYHceuyoNHv+4NhN5Bq6KIjykCoeOuHTufbdLveyL7CIGX1j0CGCYKRsHMRNGx
nlv2Mhnl5tBAbzsBJyeq3rf3aMAEqzhRli4JiWqXjN86g3xt86DEJWBswD1VymyIVelyRs8RwkLz
GQ68AwPU1qE5OSO0A7lTlWbItR7HEF/L9R1qkB2/a5IYJUQSsyZhLfV+o7h/vA7MPll4GPaUyPI7
GM/skIXoHfUUq9jEq3EysduAaVPB53lGbuYQuDKsL9NGThyLQ9uaWKpuQxOygHswYzQ0dTA430DI
6QIcWgmJFxlpp6ZuAMgsQXwcAKbyGX72cG1CpJdyT9BX5pT6foJ5TsM44ohlKhZBPJu7dwTQZmvb
prhqNkcNr5/a3mgxsGwz0tzB2AO7KE7/jMTasYQ2Y4uuGvWhOuMbmwrdQQ/QXI1Q6YaAyEzFHDcQ
cpZqSfxHGLXUnl5fIwem43wg/RuHh6hLFp5YSPTv1GnsERtS13VaTOgsrLO0EzSUitCXxQkWVVrN
Z8B7g+lhDV0TxTorMNdlr1COQU2jtWsTVNgDejLGYECbRD4KOiZLRb3OQedmtlU4oBmCDe01nqIm
mp+w1FL+yW7TfopuIca4TX4ZJKHN/ejVM+tACChKYM4KgsyHsvfMEumqzhS8atnxgWTyTKDmlKTG
eQfiAK3ZZEQmEYBPCGlrl76ertmEuJG1HRvQI+BNRUsUiDaTiTfhqjIfk1JKImtAs6TayRrW/MCf
m08Tlaj1di6jkOPSQSieMyzLQhMagp5NTTAvWnO3r8ujGACKPJTj3PBSFS7nQ3UpAMyln6ZohrF6
8p2wAMxcofzBNM01MQHoI1DgvPCyRuToqpqdFE/PtOwjZzznCypBUDs3mnc7WhN6hXugdDyC3U65
KVagpS138QTe6D4N41w9TWrMBVp9xdgObC7g4sWlNzsDwOvEd5lnle2aJFC2Phmb7YBKYBl5MeEl
iSfvedD+qi/E7JI/BWGsl+m4uKIrnqbMWRiU5DXy6VN7ItboMSvkacFpFgQG3zPiaK1jAoMFUw2y
rxqeOz+hQULhWFuWtTyLaezWW9uaQMIIdP5IR9DHTJFgiIJWjA90VgQYZ2tGxv/WwsTNxOwwi4nC
1AJuDZfTWJlAPkUgaXpI+iTlrQ0VBd0GIJG1IgarJr8mRon9Zv3AqJsdd3U60r0zED8YUpn8gemE
ryNsvI0CRMjXtuzJwakN/WXI9sCumPon9KbBH+kiIo56XXqAw0xohQtOXFfA/lG2RpFjQv+FiVHP
pn5kJUKbKYkI7Fzf2Mi81B0DspqM2wffw0DOTmiWONly2l4FaG0SvGrAVMcEDt14Fyzh2qMPuDjl
KepdcgoONssjPhDLgB7TAd5mw9fE3qDYq2RXm0jUxS2GfWZ+zRqXIoV7ddbJyWGTIuAfg21P5cot
93E6mSzwNbEok9XcdLMuBjXMKtOYTg/RSsbrTZFkopMk2cz+OatrXmnuINBVnEZ4AKCDMLsG+wNT
FBXpq7ClOMIHV82MwljCbFgDr9HCmb3o87zewFbuVzoDyJAWT6JZTIauX3eOeOlNoFs50H2LP9S4
/oeaEVT1GL+82A3BWLypGWHgHs1JXM6fl2QweeaEL0/m75BtRG5l0+M8zCv9fTnvbVWNMlVEeuqZ
ch56v2/rrLqt68geguGzH8yme/M6NcoI9bQ/Pd2vl0IJ3Cg5m4YRrak3lVU3SyEdU534nHuJ2Z+a
wBMgnRc2a/au3z/WSzXwx/qxQ+k4hNHtgq6AIf2279LbaEWjTyY+L6LC8+lizCpk+rc+dt4sw0xV
DmfhimVe8TTWno/eNl4nHaoOUPXIu6lCmM4GNoOmwgMV2Oy133sftUpNioB7TM+ZALRu5qff3/4v
QwV2En5/jP416bj7VopjUUmFhH3oPyHMs3AfHFAmLeRwJYX6/aV+mXOwt+Az+xh7UVeN3ta7CaNy
F/JU+xRnkRj1KdGRnJEYDs0SwZIPL40/PNzbForDiwkDF1lpqqYuSgU/V0ZV10Pfon7/1HqZ2aMG
qBrrLZpa5oBwY3NmJTHxPsGE5uevpRva6obdrvJfmYHPy/9Kvzb/Qyvs7TDTNUXzhCItbVLfATP9
853M9bBMc5yKT9QkSB11llGlgnVj0vl/N8roT9s8rcAkAn0V8bZ4XRAYRgIWwScQ5GFxNbSlSc1z
SaZ2gjluosbfX/CN9D6C17TBImBaQLJY4m9n0CBxNItmfMMUTBtmkBKJ2ebYFGGeAaTuygXyEWyN
DMfiws84GX9/A28smWnbgCxxYxv+H5DT/8PemTTHjWRb+q+09R5pmB1Y9CZmzqQ4idzAKInE6Jgc
cAy//n1gqvqJoWzR6vW2FmVVZalURGBw93vvOd/hp9sfLy5V4iK+FeVzg40YjxKzrDnf0vVIwmz/
97FFt8lyNPbJRuCm/2yKG0SyU14A+SrZFwhwWy6OzMBR0a/yjGl5EUG/Uy2gbSjZEhThlO8em84I
hlVq5R2rtRi8ZbMEwonCeJNEQOwgp7M6cRbpRE/zyBraEWCDzmnRbQMO83Z3kjJaDuZNlRvL+660
Wo5dRmsLqhj41st27tcpZxtM/MsWX9dtzdcSfzfoFUd7Vs08t5dDUxZ07yc+21oOy1FGygFdGxUP
XP8gzlo6k7YeIQSfJWVOW/bPl//4tWbds1EXIdELAbf+9mj3VBaJYc7TU5U0DmfWuMYJUG3CuVtO
AD9b1n/+yOVt+XXJXZba8H1GA54kEEukyq+TIQZl4FVUMDyFsb/0GPs09PMLjKHERl+ayuQbIOYJ
e4qo0YqWQyHY0uXb/PlrHP9yhFUuxGxCTfjZDN6PNtESu/zAvUye8or25ykQy07eE2Bqt+e26j6J
KTheQcg194RDp8h3lshB7+gh9y0zxpyp1LNu6mx+8DKxPBZZVi8nqz//LvvoleZvB5mDLtsXTN5Q
bR39sHgYzaIotX1fqs7E4Ub7EvQrqLiUSjfN4D86Kwbekv8SNGx4LkfPCR8o1rwWMiNtXVowlDzL
/B62dcE51Jrd5aCexlQoMA94K5IqS5a21mgsbYCgw8qfnOgAFhq1q2Q6cqcNy+HHGbnHXhTHuAJY
VjQ+CaqqJQWxOTEM1tFih+Endi/+fBGOrjfXIGRdAZvDBBIB3fE18Ly4C6Xfj/e9zJadOaoYVRA2
M1RUzn/+qMXc/OvzvNxTFi8fwYXPtugcP89DVdNTtdzoLnCr98/qPVqnwNiXo37PUs8S9PfsvUCk
w1WAjr50SX/+v1b3S4fAGEjc/eq5YulnUgvWrHS2hKs3nBg4WYz5XPGqQlNIa0h1+8npKZi2OVJ8
ikZE5ZQlPwd/TIuWIZJRZDbvzhyYM/9MV3K54bOX8SnG+3Rc/N2a0BYd0G5jeMlyJzOLU8uwwvm/
3He0jktj+ecIjTeSZzdj5sG+F0V0ORz4rHKgBfLnSxp8vH1CCLxpNl5yso3YC0mZ+LhENPwCHCN1
9L3QjviataUHfJDx6AHOeO3S40+6HebT8GwCkRptajdCjWjnxQM0JahBZUAKSKjAaYTGhCMA0EFz
H1G/qutiVORtJYG2D2mY3UhGbd9JnkeI57dGMq2Z5fhX2ouqs4R4igt2pGSmWk8Aoxgqcx5n5sj6
NGqHDFs2FHJ3Q9cwf0BnDPq4K0Yiu1TYXrvsStAbC8O5EFML9LkGzsdMvHjAfuOeFoXNlCCrO9p5
FazQbN1ZxTOqCUwJY4yttZ8b0wLx0oo7m/35pU7gHMK49RNaGLFS5HKW5d0gnP4hdRwcMYFpEKNo
0Ld7AjehfhRG3d76rlIci9AiZ2Of7RgTTCR0My8aMQSFqbHqXalPixK76BBqGjZJlj32RH3QNY8I
SeyGtrqboSxvOH5CRC0Nw12bvnnjdrh67alTzxbonvuk9/p1MvryLBcqxUk+pWd/fiI+LtY8EIyV
Wcw8jgquzUHh6IEA75mLxovLH9yv8Tq0ozLfQu6AOua3pn//5w/7+EL//WECodyyzXOGOz6RRLPL
0a4Nyx/gNiUaodG8w+xkq5WU+YV2nZ76L67kDSNCkX9yHvvtyX//mWh1GNmwiB/XI72nAM65rfyB
+4zC1YH0jEfEsRC+/flHvv9N/70Nv/9KF4sy5z70xU54XESOxFfYGq3MDwtei+bMw3axqih40s2Y
FOILftLoCwGVkHHNwgvrjaNreMQ69TCTFx2yL8R6/lXrt+FpSXbEPfut4pzUF92DlBxe7K6U9cru
LPfGhHn+JnsnOEeNK240gASSbKhTMaxbCEpJCLpy5GJmNoT06d7kzOKgsdFYa8PpR1bFHaOEvt1Z
sWe+mGPnEHsfOp+chY5EeFyS5RjAMYjr4rBHHx8JLEOokdDL+QeZeVz8JHWSvVNlxWGcx5fSCosn
xwjHTW/HDD2a1vBJOZ28cvPnO+MtD/OHOyMWsSbkQxtkI9v40QHJyiOCUWkY/4h7Bge001rCtAOg
rBvFlKTbaFeOB6jmOOlSo5ZMeypo7/StLnTt6w7jIULt2YqxSs0TjbM2Cp8llB1v3ebGRTqV4nxy
CG1zpHNHD7S4qgxuGhlT+OvWczcydskqFa1FHYovHBt1tRvc9G3ys/TSEXW6z+kUH9IYV7z0uqLb
VJHqv01F0mN2sPMbo8TjhH3TGnaO3Q39ymnT+A5bUwJ+qzH5AclowbTpYkYAImsyBiHsibe4WQE4
JJP7CG8M4BdDB1jgf764H2VJ3GKurUt3AdgI1SxS8I87S09LmPsuoh9N6nqXpL1nD2AWJoJimxL6
Mz6pz0o666Pw9f0jORtQ4uB7QYJ3bETBR1O0kq3zlcxL95S2mSFXUT8ZZzQqsx2DiI6V3ovbH7Vj
Fg9pPHbnaRqaN4YOnd0nv/73R4ujJsvnOyXUt47FgO0gPRXEZfkajwwYqNur6LlqZ5z2wJ49OM52
TodDViABOo9e4SZLAIGAjk439EnCcM3Ak7yptvLF17TDQE7rlxZ6aajkIvdTdYBRNl76fRKfxJ6I
yeIkuGjABmZBy4prE9BuawVY6OXs1Xvs3PUuyzvjArsQ6VC0MoxzuOvT9TQObGeZl9aAi9m91xX5
dedkEDACNxyJJ7NoCvy5eiDuTjP0fCCKdNpyFlG3Hcy2k0QWTrtqBXKZxUgMJdyn63cN/RBcsUBR
NzLRZK7UgWKL1wrtw8VQE21LkAsxvGuuX4WbPhADZHY/tvHfVelXrH3dm0tQNa0enQFC+PPd+X39
IcwpRDSHdM1fKK5Hu5xjMwmF4pa/YpEyxSocwuwbKo+FhMIto6YSP2bVRyd+aXybdDYQwu1rgmw/
+Rr/8MAGiwSZrS8IXXoDH98RlFJKqlkUrxH4hH7zfkP8uU8K6Cp+tzOxNd01bdnvJj+JtnUYjU9J
0Oqa52S27j75Mv/wwgbu0ltm6UBreazYJSZo0NWYZ6+xMP1bEgjUF/LYjY2gsXvGvthf9oRZn9Zu
KU+AtloXXYmbayWKbrxORRIgSCbb7zw1eucN5XzjrYImzW8/+Za/HRmEj97V4xVHM01ReXTJtIwm
GTZu/0rXu4nvOVng56aTCE5HmfrS9nXOTAn/erAJWq96S+C9wNGI7HrYO6JSD15YxARSD/m93UJC
X/fsArs2awsud5yJNYZZ4h/fv/V/TFx3U/36f/73yw8JDfOnIetXG6NtIrH/5Qb/Bry6eFHq5XvS
q9euU//wb/40XPj4LVD+LqE371rnXyJvhPMX82zHQxns0ZbyFjfEvzjN9l8YEx0XvADuqgAF3v91
XGCOZItY3mMOfn+7vv4NB+THM/PSqieLK+SAZ/G/F+/Hx9cYhRkByrVRo2Mp3pIKkqIREKiUBuZn
Iux/+qQFIkYt6y9q9qNPKkq3dOfR4pMWVJw06+e6ZIEdoqT/5Hj8T5/EZzD5oHHIRr78819MJHFn
RGh68vrQQdUD8GReKS0pAprPqvp/+KAFmeuaVPb8rONzghaFFbIx1odJ5W95kb8BRHrL+O9fnqt/
6Cz/88d4DFXe2xTH9wg64qwSQhERqgH1YXkC8gR9eo1N4X9w6XhW2VyWVlTAPOfo0rH50p/gF+lI
tuejCeAD/kBw3n7qOPi4ZL8/eAQ3sVRznzhivFf3v9wkoQka7EJs4MlCwfJ7aEfxuKijHmqtP5vg
fFx5f34YFkHYh9Bsw+Pui2F5FXOEqj6E9BQ3iHsRwiILWFVG+mIGS1Sq2zqAk+jM/vu3jskTrTHO
lL5/fOv8tuptPHo1UjUoWn3boDwl8OnBQHH5yY78sSj8+RsxdLIqCARP4uhcMPdZP6WVrA9GDw5I
9jUqZduMbv8HP+iXT1mOBb/cNsZ/rqYQ4FPC0Tuz2/FBy6E8ffcg//990tF6QZhbQgoKn5Tgzdpw
PHsB9QYR9/PXy/z9BVvstXjiqOSXcvfoqa8i6aG3quUBXnG1gW/KLjqhZL+eXTnhXDVpboattWvo
RFFs0vPKCifcIgwuT3WD/XQ9VAKSAurrdVuVw3fwWNA/MjJ8Q4FcpBf528QB5iSeicuthYpWRIWB
FLNJnV9VNX9kSkCtmTSW1z07xkGMjQS5G9qPubAJHouy6FlLoGkDVd8B7ke+qqYy3A8Zz3MuRp/j
KWmyknH8iLagAenVdQlCeWxM284W5W1nUFeY4Tx8byJWeYs8MlihFp+SudXZEHBWXSciQDYHTcb8
luULs0zxfQzapy8S2d+Cz6h3FWLdKzRX9P1I+YLo6SykOasvwhH+ZxfuyatBnGpG45ZiPABGVRtr
afLrZuQsK5mJbi26krHRQg9KYsBrvs8WgPgAVRJZZ7gOMLqc0nQC7IQF4MzCM7sJJLD1IJTIQQvT
fowT7Z2NsZU9x0FVPNALSPeMAuunxpf2I9N5IIdisOqnWrr9zHfSFCuoq8IOSczEuz76Lh00w22L
BzWAMg0IWbwhdLB7jrg0Z0nW1Fd+n72ZFvcUJbf9SNDS26iG6BbyV3UyLEtjQhDaGapGgHxtAW6X
dzsskuss9ccv2Zi6tOH4tZGW6R5gsrPiGEDlWEB+Ok1jysAVatr0Mnbq8Ip4r/LNN0Lr0qoyLmJf
0DKwjQGs/vtjX6iYstAkGoiYEmKvUi5C1FMrzy4NSUqk+C6Y8RWtYpTazyHChpUkNWkDsRmCc9Hp
al5Xc+sXe1JKzPrC6nUdbjia669JVBvh1rZoP6/LKocj55tle26AAnkMjNK7A8Il32yREEf5Lnrp
WDlNM2gOgNnDh8r2rTunrHh+vNb0kLFhmYaAnCS0BPqRRHgi3Gmy0o+jXozGHMukXYNLM+LcWMOx
DVEvt7x2S3bqWrtscfMUBvvOqYHZecVQJ2goDYCwhLdkL9DrjF24xE77YB5RAoeavBSQ1l+GNtRf
53bO92iJu2I3MGtLdxlj7nk7Z5DRVi0DMySjRJN9m8Na/bBn3i3yloh2B9Wk7rXo6qc4c70ztKqs
oWPFl8Xf4Jz6Jv3KRRRirK2cO8GMM39uYhsO4YJMbBeZet5mb3aQhOcRTqdTvohFJwqkoDEpEJaJ
9JPLOA8XwOciXzG4QyQ1Qex2WNUojQhVSCCLZQia8g3Ja8lrWdPbKsmzo4JLQAi5Vv8V9b3eO7Ii
6DMkcXY7D0F5ujReVLRAlozOXCur2BP284r0j6xWBYetsQ9dpb8xrk1PJT6lbR8RH8ZWKG7ekZFW
ydcyrUJfwHlGGp3znrsQMVZ2LfLHwKrnM9yBO0m5h5tirLu1HHLFcDLNyMLrCh5qVsXxOinqaVP2
WXjlcKjcNQZvfQ6zeqM1lHRHUYbPLaubHDrQicu+W7v8bltmL0grCZ+mYf5C8z24cXRnXVbxYN1l
hKafjv0yCmVBxaEOBtkspmqjMQltPcVUY4XaO7zqyn74rowWon6sWHMSNw9uLB/+oGsWLx4tDdiG
rB8+oas3KLMXil2LOkAsXSR0tLiXqrw9t4aelez9pNWHbbMvaEdsgMeziNn0uH0GGXQ2qvaQqqBb
Yy0bvideeVKXxMvFoTJ5gmFPt2lx5dQgdpLBCbgJsr5SzXKuruzqjEk2D9PQJCQJSstd52grMWSF
AwCo3tq+r7pDkj7hdrHwoLJa6eUZ8czZugSWnV5mHlxsPSUZaxwniZVhdN4lWVg7RazRWlfEvHsO
uQp4HaAAIky5T0eu0CyicjOa5C67BklZPXc4w6rfMtBlN7jTdbzkxpblaTT38kb1rD1GzOoxhCjd
ci255mHVI6TEeBuXED6dyDa/hVbfnWnD4zxa9VdBjnFO+SZwygSxvQxj44IB0ZXDNPyrkWXqasJU
dRFl82NqOsNjkE9UuxNxwO5iF5lDsnjLpJFXNZac6yJ/Ek0rCX1N3oh5iddkTt/zPj+0mgQvbEvG
NolB/gEdra9cxAgF22K8Z3H/ZniAFhB4u6fYS9wTI02Kh6Zk5cX7GD6YMrDuUmTj1XrmltZ/L7L0
puvdzD3YUXsNaB5HUpIDF3AVYX89wyPPbfdIDla2ldTDChF5RneF3lC1yijyGh6RLJRrKzbzk3Jo
zJDoQgH5Mm9lu5l0QwoFzhSikglp7MyVFw2kfNXSvlfSlqcDs/XTSnS0uqugb06dQsHYt+RkgzVv
xkr4Z9PwjrSmHdiy/pFyG31pCO0gkypn0rp3Uy0TIs9CR48rOvM6QM7WE/YU+T1G3jVn8bb3IXO2
4k1NWUJYDoqF19rz45WVxuJkDERtrREntyhSG/TNjcJfxTUQ+ZSuu7brrktfAG7L3B4IGV3CbNth
mXSJteqZ27L2qGccIzlAmrG4JQCDWMHa8okY5HDtkkMnJo1nLMs3aW1+c4P+UGcZqTATEk46uwl2
Hd4vFg59A+vCuMDNYiwaCzmyV9vTnvfURreXkQoJQbc72A15yGMTveSJl6PTgJxom6ShkVNufZU0
+S579mhrNcaAwkvXRmQZFs58yesaf48LYeFIt0B2FmIMOVoaGIVGzwx2IibZYuX6LN9IT3ritYRL
b8YNC29T84MPeT9IuQ4A3X6SZvMbUCVgEE3tbzLWpL9mvad4/3LCxqMF2w230qFhA9349qAvurin
0xe0nBPeyauTYzAFsWfOFXlIRiAvPCh3R8bpygo/s4Z/VApQVyzfhw6Bhcl/KXaPmuECUiDvAN+H
qc9DD8S/zVlTYfq9lEX/JZrY5v588P+tMqQJDvOJT7I4jxOg+LHEUK72JIbX4qAbDmFlBCzUwmZ4
KIngXVKnPxskHzmn338h/e4lzwe+Au3Mo8qpbDnguH5esKA04JFZJSC+kRMIFrGVLwRChABSEs6D
XjBcv287QzVb/j6xoYInKLJhUZIegisL6bBiX//z9ViQ57+Mev7+ft7Cw8IkCK38uCivR1xQgduj
T5fSPe21km8V+EQgcN2gTILXXQ7bBdg8nDeZ1V1qn7OmBW/hClqxjTJYvnCUKU8DuyHR26byVGld
ynUBX/iMBLnwvKSJCIxVhdsOxypS2D7yDnHEquyMFK5blwTfW5KD3Bfmd7NekYSg94FhiRuMGmzA
Ee7fByKMs+f3XbEkRjFAEkuI3yfX4qj7/fNacKJcoqKXFPujhwMsTgQGTuWHziduxDNUheQPuMzg
uF+bVBgHg2MjpgJ8O14beuu47T4ZAP5WZ4eErgVI4pZRDY/p0TfoJn9AtmWlB/iU6d4zYhxT7vDZ
MvBbx4JPoVGBPgXtlRDH9xwBIwE6ZZUefAK6MCyxcJW1360bG+H5yscZtCJNML1M8O99/fPzZn+c
/yzXeAG5LP0fVE9L7PbHF3Cycle3xZAcyN4kW61wq/DciJb5YM/RGP2qN12Fhhc+lO70kIdT82bU
3rDtSGwisYLwnXRZb5nbNsjGnW2M12Tnunl74PwdnpOToX5AjI66EyJHKVzfv/1/+tWf9Ks9astf
7vNv7er1S5G+VW35ETX297/1LzaQ5f5FwJlLU3oR1AYef+FP1Jhlu3/R5uStcyFM0HX+0Kqm24So
yWS9xre3vJL/Qo3ZfyHGwPkYsKM5qAetfws19nHk5JkLD3DB36AxRspsu8s6+cvO2M2Y0Zu+Hy/L
ge6LpnNcryonQ16Ri0HfAOWcTrNRo/owOYE8dZWr73NXjbRLw7J5/OXq/UNT1jraF5dvgzSQd1Ow
7tFWPOqEMdTH4pz0zG2a0qKymykjelH56D50VzG5Htz+SeiamryVAdPJJmt5daNZCXfNhlv+CLvO
vOLvSPqNXRTWPYLUwNrDeoleIWBY4yf76ns7+r8lA+/Xz0UogIiT4wog7aN9zl0mXX44dZcOygHI
4zgO7/WSrbjrxFRBdp5GK9ukEHFX8zI5W0HYdvZSt9THra66H0S+Kwu8a+1tVJdWmvyVBFWIaL08
3mIsS66RFZ1KFSZqsxxwHlTSnOWU1iNFjeFfpOD85Sfnpd9vA0pRkwExKnDq6uMePPjCeDDqQl2W
cFcfyMO14Dez8dSruuzHa+xn4W0dWcUni+TRnkzQNosyExr615gsbGf5Wr88i545xm6t4vKyDKjK
2Gz7yxLHShpEycOfH7SjneD9k4iPNdEE0JlnUf74STWL7Ny0SXUZ1Oy/SxJ2sY+6YLJXeZ1sTZIk
5rVjTszLM4y78rOH5mgz4OMXuQtMGRR7IPaOP14IJyVGjsAI0eTeCyl13ksOFLTYe7NURFkSrjWZ
3HoC3JvBXjV5JV67IlQnVI3u+Yj1DMsTUhHYx6KU905b284mCabptTY4YZnGLMXaCysXu5jDAPmz
A8PvNwqhK8sGszLbXTSDHy+f6fde6XkRpUQfyRfIBOQDWUbele4KRUcZn1Jp59/iAGTgODcJLmp3
TKnrtXjrwCtX6ymJmazimnxNW0f80PinxGdHCu+3m7wQnhby0qKzWlTAH7+l3wap2Sadc5G5TR2F
5NMRowkgeXTCXQcbet2OjXmjkV/0wE0SsW6tco9Jqt4Xbk3rqWjkl7rAB8lMe4gfh0xWJ5NCWlp7
TX2PIRaJL30ObIEZLZu0c7IBsrAqL4faUFdEhLBNx9QOK2OOOBnaOpEHz++KL4S6XcdT6YyrohfN
JZTUu84GC7UhwWApGiebtYEWK8b7IcjOcRgFTxGI/tPED4iBjoF0rAczcSUgzCk9MfCJy9UwoYu3
gCJs5mz8jjK2u+1NQyQrsiXEDsh6f+JGtn3XJNaAJ1oYFinJSR59Y+TX6lVaNsZzL4WkFFP2CUiR
+sRqwuJHirSJ996R+S30oxGocOPGp23UAlrkOuzRdIVXDS10GBhts7Os0dLbAst9vNZDTP2uyX/f
SuT4m55aK4mM2NyQDd4d2GrsYV3SrUTGLIqvozQTph9hfes5nbfvw8ywd8qX80vgV+1WmSOgB50H
8c4YR/MF2/XwpuK6Bu1sd2YPId8mzXzssoqXYxi2U6z7gEj5iHBwCrlDyR8F3ejSF/Xp+6NPUBkt
KBFBhUQAOs4rtwMw73RGKfetn2+pGSfzZqCepHQBZo1sHEDJjriVUO1HR4znfj7PRXTTDw0uy9WU
wtJofyRRYtvzkxqMUUjS7LGp5tV3GzJDhzKm7/q+Ni+7vJP5eBqSeLLXIfSREwm4vV69Z8SYwnAI
VyS3Zd1zDyLsgfQKuV1k2mFJJj+MCHD4zVs/H2KS9RAyRVcIvOjeHvJJDMmG2iHsUPR0Dk/UEFXW
0ptiL9z5RpJFV5pXh1MieNqAB84BVbkri7QNEfeweUXbUaf+2ohQXHirKTIJ0kCWRm2ehNQKu6EQ
BZk7UF7ynVfGcl4Hs8eKWZIN2K9lgv16pdUUq2uVGhJHc5wGb0avySLbmJXd7VOaFMGlZ0QxtGlH
dBiF1yW2vXk6KIb7bbKtUeEt0QB6bnY0Tsp0NxU0Dg6mou239kA8pGtBoCDZUGlDA5nbaj8iyQOv
jf2A0Hn+YxpXRWYaiktelo+ZlKE8cdqwK7Z50vlf5r5znF0GscA6S4ZEgQEXiZ10+whFTXnLZuyc
ZvFs57i6+AbbqiviGbL3iDEUb289XMiACdOW4O+63UQWXtsWXUKxiSMn7jeCZl69SgVhniRXZM78
itkt9DcBX0BunAmkxIkF++QQpyL313aOS3mTVmm0mcmA9FDM05q4zqIhc9cwSrJ5JRGBG2ckJbo7
q45ij68binprITqviKCCRLjNQzchVYk/R9MiXQjlTUx4OzYa493GZeA2mqoJJCvvkX1pzWUKKzzQ
ruHcAQaw+0u/DmkWlWHTXYA0ZkuKFX0qQBKSKn8XQR0sn6BblMlpM8li3EEmndMzC4zQnZvZ3os3
RihmA4uHF5D7KJwtoDvGH5I4K2YmeIDVGg8l7s+0eSqGgZNFFmf6Vnn+8K1uE+egBQXSNsg9IkxI
E+Pv8YoKgEPZasytjD3cG4VE7s7qDP7E4ONNRMQ9MSsE1JbBQR9tezgpRQx1MjUEFZXZLA9nljVq
LwqVqOtxcjuySZqBe5MMJV+sUiy6Z+xg4QO9DJ5uySrZbqjmxuqEnmRkX2fMEPIvdlCG7sno4ua4
6IjI4PAJqffaA3EwbqtB8tFVNVPOI/Pt5r2Zi+XHL199YH3ie9XSunS9kl8BIoFLtbCCYKXlmlen
LrDa3pSt4JVve04FMf+MNRVBb3LVICJf3MB1YnK78Ub1F9LA2rJKSVQbd/SgTdJAdGMviwYv05pf
xAIyhtZyTkYS/BDRqzwNdEo+T0Brj+cCkszLgBwVdESbTV+cbjTVWcwxNzur6jLPbgN2i70qTcC9
Ydw8UeP6DcCaJLVPKyJC+7MIfYveTK1oBg64k7OvbS7r2hTN9B31hnc99sqsDo056fxx8GWsDjIy
5Ns0h8sagmUr2VAHUNKmeA/IuPFl+Ggw2tzJoY7hFLgsc1M7JF9SMJ1noSS8cePZrR2z7GHaWGHO
Cx/aDJTwtrBLXpMZ23R44paV1bxKFuTpFLkO78awrNjbzDO4oqOe9ZZNZmjOSFQkQxFTb6fZaR1t
cvRusmfmXuGdAdDJIqOyI/yHcF2idCWaJH2SDjZ/1UiCwLx2h9iPT2puC0DxPPSRDGrdXYyTKJg7
YVsNhDqgG9Y04mEHARrH+Trva4zX1UXpj+458yW32iZNKfVZDBYDeJinZHLHSUT9MMNFEM3SqZYE
R0XibTjooGEXmJrbIm6s9KtVzU6gVzMnsOm+BjgS8pcpfPIJhJL41Ijq4RvodEOvC6H8/ASJq3Uz
KgQ9+7aHKbpN556HFEtW5lyPeTF7l9KvC4TWtTZ9sBQJ3JmJ043aDgnJDlvGYyn96llI1g6lEIyP
DjwqXdhBu5+h1fBV3TEWmymaTEU4hfKbRxocDJ7w9WLNbtPwgWddquuSqSMLrF2HhDHJxCdorn+y
g34ILGx6Wtx7dsmgb8BW5F640UJ6bIgTggEQ80RvURBzNykcpvE8dbq8OhdtnTjXNk4s/4T5esjv
Gkc41HlrkIeNrYc1g9NY310Q/8X3b2n97FQS5AkZUaZ5MsHNYa6A6iVduVEi/rZH/aeT8kknhabe
0nP+f/PbH19V978eUuIuj7opP//Nn+0UIf7Ct4roB8ukh1fg18BL+y8f7wiuMFpsLu0WqpZ/Kf/M
v9CSLfpr8imhxy0m+n+1U+C9A203EdDhGXonNP8byj8cwxQVv/QDFuMI1R0xBcKi6PjNRxxP7lAQ
05ycKCn6syooPahpdq3O2PHdTeFCSlvlvWN9UZaxmiQ6fDMd001hWsMh5+SUbaOoF7u2C9vbMODP
hE4RPqRBV+yT0IhXDmgshhOj1+x6X3Y5QITEO1EwR9odaqVoXoNFG/wVhvLCo2jHM6JDooK9GusC
3LXTEkCRXrUTeR6xDOJ7q2R3W2m8Chyisq/hgLdcASji6VfTPQ62ZYlDCZ1qA5AcXJWbeKisU1qS
TKhHyOTbLoIbs2bZbb54U5Oe869Y9aY1hd7XlXGTRnWmNsmYDYfWaaqLecAaQeKb+Ti3rSYV05zu
SOx2dlOrkms7ZLFYgblb2FVlTvIMAT6b1MqKHThPDR90mORtnHjeznbGep0p/rEwG+sstNL7Kqfl
EgedvgjcaRfA2FwbQNkgVFQo18HUdrd5nYlrDsTOTUQPBDG637rWroJqgfcV6scm7CNmjIIgOLvW
1soH7bDhO+cbR3UuRWsoAcMLsYpG55ETQX2w0uRcuCSP4t2+ioMZ9oo9mW6xEexNa9cbXAIp49kl
BrvV0UrBAwJvM3crGAKHEI/7vcvgMFvV6WxtDQ05y+XsL1FWlB73w+vP5wCxQWY+pZywNj2/ZcvI
+iECm3MaDu39lE8uQCWzfMYdN50yRxWkywXJxsunbWx13qbI4viLckun3GgIwRdBJptLDnGkurEN
J4KBKbmDca/869wxoo2RCP0UtZF9A5gk28JtGs+nuX7tbKDGJHeDtoqaNF5QP+p0hJrdZiDxaXSM
54VPulxh+dGmL43oxnK6r7GqyrXXifwk8dsoPhs6s9A3IyCB5qWNY/UM2Kp/SzNt3fhAsM4yYC+3
ORxTvJFlfw59qPHXnZZcsqGW7UVvm8/D6PaXRm0b5IGbr2jQn8UwQCGUXtmcaEapqyJ1zCugxJba
AIsiuZCZ491s9PR0EC5t/SYq+jUq914eTLf3sl3kV2WB6WcYnpN4rqhSpz6tt8pgYAtju7VWM3d5
64kO/mepNL2Dityh3EzM87ph2gcnfIpudG1fD571NKvwySQStaXXtW3hEqGU9NM6XLtkl7d7CiR7
b8a2/0hM+10c1a8mIWDTgjOuty1OhYNXINq8SmhGwFwPgFomvn2IWXO+8DfEK+Go5FI16Rn9x+EE
nBoJCRA7knHdx2jMLlSo5ngfRGMbr/u2fpL0GPsvLUm7fCVF4dNH1xrawapt8vpiAtq+Udofd70Z
En7mJCd5PuvmBj1PIA99ZEnKnn7KznLHzHJ6j4x7gSJW3oXynGgrnCrB+xFZ26buhpUvcApYtR88
YqnD39LNZyVVLaIIlRDaUnBs9tEcedHE4Muchl3p0kOJxyL/OnpEIsqsGc6CVOzcsmOcj5qo56jh
IlhpM+8mqWS+rX3S+PwhYWKsyaTPIDudZrkDHIACe6+xxK016XAXg/YGrgBMwrsGnvqJ1wXtxWh2
xsMQb5K+OOtRYG1koepihbUq2I74XJA4nfnT+NWORqKGWzoigHfnLQlt9VnhmdWFRSlDxLZrjO2q
gZFPVmKPVv0EZVHAStU2N+gCnLvAC5K179foVXD1DGuANtM+MqJKMDPP86c5C/uVO4rhDIA/naJW
Pxd5wMxR94Qn4zxrd7CJmbXP+rKY4+mtTzhdJRrEa0LGKC6utO73Y6S+u5HfbHxKQiR0fmltKtvs
TyI5QTurohYDSf/MxuLvBsxDh3JuBt7SqFrKwnoY4EnhU/tul+w2W7wy6hzgf7jTsXUb0/w+4Jwy
z1JT1Ou2JCCu+C/2znQ5TiXt1rdyboAIIBn/FjWoSoM1WNq2/hCW5c08JJBMV3+eVKm7t+Xvs6PP
79PR0Yq2y6KAJMl837We5aOKTNfuom8DcwPpJYBzRPgZlM/xAuCseTQX4tjjsEiP3kRWLRpi89Ib
JnPDGzvY961pXynfCi/n2s92s13eA1LEA0zKxkG7gQIct9nfCtYQlVA/cNj7MvdO1lhuMY/Kowyt
Chd/UsitOYvbzmoio5ltwHA8otdpSxMvI0KUGh6iJUJ/QrYMmXUCf0D1QslL4l/lzlzn/hX2G1DF
qp12eVm2V5QEEqIInPTYreELe/UKO1X3yuZHofucXmgWq51pLdZOKV43VpceAzpwkLxLDdwMbkYr
vmerIG5EZcN7VKN7h5Ks2ncGgXJLfq/M3rib0vx25rqe4tm1eRrLm8Sv1v3sFSGvxgyr5cYbe2/v
rn0H9SwkZMUd1YAKcF4enWJZNlC2JudeqizxTms+LOp6Idis2dm8ObuNnc2ChrMpMFFvHMhf5s6j
pm7u0hjr2wPxMaHxZertGVCy71M3zFy0duZY1P66QclXls7OHyxruWjd7MH1O21nH6GigvIonZux
sDqGlWuJDSDqvNmYVlf9WBprdjemWuUnG7BDum1Rmv4lWjX/pdNnT/6QW5dK1v1BLsb0xsGePZK0
i/FkUsdi6i9rrsGYDhdLZZLBh2/+QqMDvy15ALSzUflpBPmO2tv2q/uATcsJZmZPwYeYez+c9osd
JK/sf41DP0zubQ8ZeD8FEkwd+Y71pmLPRIiF4AIVC+be1EySJ2eJiRbPK+hdbYFohTqHc5F1qzNu
zZXC8EQO97Th7bZOm4a28WUHqDlF/tu1Vg9qVIWkyED/27s977YNFaEALLSPCm0tyvS0QPpLQAH0
ozqa6aIuy7QwjgZ0LBZ+1HQBjggn/GS5Bn3oZlhlti9cSKpNEK7dNhXK2xaJNL/2bp5a2zk3cxKo
Onmfh2zHKGaiIGoo0h16SPP7Dk/rxWqlIHNBIrOThevq9+xnl+Gvkir5lp2TdQXysiJNhpv/hUhD
Z+/17kEMsSLJeh2IhwzoBPLvsxhznhgpTxnTuAG3lezEbFQ3Dm5UHY3jS6AvEG6OTuaYf8UxstmE
3K80SnAbF/t2cWqyVwu0k/QHhi9M3utOcJEum9B6cUgJ58F2EVpwR2O5KQtzmSmVFqCUBpWTT6pc
OxqQBbeR46XVJ4L7Aivy6AntBje9pjfe7kNK21eT8t2jlwbtEtUicO964NlQbNy6PDi11+1Cbtop
UL0ct9hlltc5DtLnkDX3o714/mXsACvHSzn6V73J0mwbJ1YSXlemi7Rr8b8Mlej/WmLqPF7iOvvS
WJPIRs507Oxl7QhBzr2vAh4g9IGgRcCIJIx3iR1elzntGJsSZzTIzPrGfJqdssmwduwwvS8j+KoF
dWvlx3tDZinNCXO1N8lQdfulHsS9shqxoyZG1PniF7vCycJDOFdq587jeAnzdLpZUN7e9z7EZox2
c5S75Fw29K++LXKiP2s3DYVCqiZgwK2220l7RGPazKhLIUjsDOSve3vE2WjX9nzV9tl6w9a9fQBX
TFoi83n+dzNY/WeoreWXxDLLZOsueXhCDBifMhTjJzgRcg+bSF6awBrvxDpM9CXa5mivJgeg3LxB
ANXu8D1brP1Nb0fTSEXI8VLay2VV71F9uAckYvWRvfe8acNy+kwfTOwNcn0HmKmfsqSD15BX400O
G+2SSWLc8gDysPijzYKFmU8UHQxZQ7a7oso9pPZW1RC/vMhNU/U869DlLykUxLuyMiULqKEkCNRz
1wsfdtguk8r7m+by9OpVcxpQgwvn69G2Z7GfOqc5t/7+//7/vP//3qh66Jb7H0nW1D/597TE7X/f
/T/W2fDj9f88DN+GH/0v/+597++R2uZTvUdE8y+T3ruUwiJmCTEXsraQCrsDMO/fW38ds0QZkBQ1
YFu6JPC+77cIcyOTG3UFzlFawMB8/ot9v9C9xP9s+/URLZtoABx41BFQ9Ole5D9a16UFKoWKsfsD
Yr6mW9mto7lTZ8Km66q2+OYYndvva7n0i7NFRemyUjea2CTronMAuTb2XPgniO44f4vQqOXFFLIq
vaYD2RoLT/bsti9uAcuYWATPK3MRJfRmrR8+ubPqvkxnv/wWBC7wFvgCUCkTL9OgGLgSPV/Fad2u
+pRa5jARjly6XYHQY3Kr6sryF8lXTqoKxJpdCWxpRj9qX9A/bun/oO74WVXwlrREigquzJD6DZfr
o+jRqjIFRyf4AecK/urFUDmlgxJq7Dv/Yu0TQhqgpbZIbkozzuz4D133DyLQt1glZl+a7gF9ll9t
mfRgAkTUXvaaW4WGNw6N0CE16G8MaGCwxtC1bWkYJ4DIDMdY2/p2coSmsVkOgmZxwjRYo2BtMMMD
iUdIJ/m7318j7+dxRIleYFBlCHlUj/Sw/HkczWlm2GknjFePrYBpk2LtJ77cl4EzCBbPhIV4z3RG
0Hn9/rgf7o0+LkmdPhIlnN6B+HjcVi2N3xgieAUgX2KiGk3kH19SOsbk4E15pjJEozBOodWnDfmH
f1AUaMHAPx4fDo8SA787ticik34xiyXumBnmnIpXwy99KSJ3Mj3YigrI6bFZedncZAbAEqZ6uagH
yI/mmuLXzEouyu8vxK/fJEB3RYAqulU25h9JADC2YPkuZvfqeBOP3H6xPNK70T1Oqnd2SFEc77lT
XAIEUEhLveeGzgb+jjEjHHj6w135uZjo+Np5j9XWDTxydSAUfhgNRKOa+QJp6jvpx7XbHRrZ4nff
YQHpw+WwBN3MEPn9+VsfZjKOSR2Up4QHFUf0L8LdJFxzmDOD8ZJmQByMC7CO+oFA7Jr2DZnnubM6
EWmMCxmQMyIeLoSbmal6qFovZw1mEHNBxENadcRKsLuy7zGd1f3L77/mz9oOh+IqRmQ0YtCOmcMR
yP78nNCFDmA7r/PL3A2sLNh2FCb3x5wnwapj7sRoPLQgNfRDM0yN/pG1ifrD/fnlYqEb1jwTUHY4
DXHmffgagQRYt/Re81KXroZx58xebBQIyYCAfClil3m/T1RXIPJxNR+xo36lAw4MGlYk0qTMtnrm
f+OG0Ystx0tnLtqm+sO0Yn0c1pq2Stlbe3W5w95HiOgsJoxPBEm/9IRpAFYlu6QlklKuA6rlaJKL
ZjiCABr5u2aRFQy0oFgX42Fq2/hIw4UKYlStK1J1GtfIwihJmR7WXuWSJXBP0y5ZkbgI4Lvwh4gE
tOqTSYuP38pOQrOif3//rZ91ixpeaQUkcnnkOrhatKwn0n+8cBmZtRyRkz/7buPmbtSaoEwlcDSl
0/mgo77FEi3n2bNUDn8HI5jppLViDcmZp0F41NAn0nD+9Aw5H2dxFMYsRuB6avAMz+6HYVEAKa5o
jLbPNLSzTu4EWiHnGoOLAIrdK833O6Pkq3ReqMeptMO5FDHhT959ItfYwBiA7eipM1Tv3QSZpxcI
8xm6XyhX356mFyFD6JwN0HY5gSUrtVfMb0AI9Usr4+pzg5o61Gw8DJqwvoNqnrl3ws0XfvSrmYBv
bt1e9NSs4LujepqTjAWGfDt8GCQ6ByloKN7z3mPxwDfPjFqvDYbWrUjU670alEw4dtb44IhmHa66
rojx5MDut6vISEAqXSTE3Sdf66COnafRHDXZ1weGQ1IJDH2WKL8fGx9nTa3vJmGCnjEyawAQH4aG
iFGgWWFbPq8W6/+ETjyFKx20kDflUSg5MVH8/ogfZyOgRg7QPN7bFsuMX46INoicqUpMX8VKIdmN
JvBuTH82mzNe3p62Mz+TprMyCNFYoJa7RpxObe8PT7lezv70GkXsBr6Gd4WLvPBXhtkqQKIboVc9
VRTEB9JmGlIgfzQy1bExadHXFjHvfpPdYkvVsME2dRtEpsFgjw0tD38qkZ/aibws48B7mInaI4m2
nyxvvB8Cw8wi6a4ziErkV2zKTCemNU3d0dIPOxDD8b4ZU1YXx1ijhXjyR9wvnwAM++2yYZcm5j8p
+j/OaySkBibLDc6aPQFCrA/y28KDcz7J3n+kkm2yiHU79uWX9rjqcUun0HEuUovdsKSsFQp+JLh2
9VTntXpIC5VPdvxAkVf/oS2zFYpBhppST5Fy7TGRy3Jkb3xY3aXgqYsnbMGaagBH6anzLU0a//1Y
sj/MbPQOQZOwNfEwDfwPYFhASxUZbbX9GAyp4Nka2kR/gcEQOqPq/BzDBFn4bjHpPzzizJV6Sula
yYvGSKnbXVKK038EPZvYyzLMCbTKJiKCsLO+RT3hfeNTWSr0KS5J5fX7wvA7sW/hCYk+WnhfcLp/
OLUPq0wNB8X7YKMcBSr0K98IwJnll6pZHkUy6plqeIuZW8mAab4PZlBQMV2GRq5PPsRrJrfKaHS8
BHxDnRi0Vh46o30oDDU9skrViPLJzwWjT4wkOvxdZwAUxgPtSk2y7RXT5kUG6IdpDSipngWzITb5
f+yxLC5FlTjkSQzYvwCquiUtAsLuQlvnfZ2vj54KdS7wvze2/8Mu6MMz+gYtRTRrw4q1kCB/NIJY
0+p4iyeNz+QA4qjbn5e3NrGHY0EHDQh7/adp4cPrSB8SXAZyZ15L2mzw4XWkY04cr539z72yGCHD
AnwHI+s6cH2cvHUadxdP1M/hdZa0qbuLcgTz+K1i0uMqoTQqh1vf64OYHtngIMFgF2KP913Z8Km5
MnjwBzrB3s37bUvkVHMpCS/U9GeeIn07EvhaXHojzyx+hFSSxnuzIecWv0+BQf6J+B29T/391abl
/vOcyMnrlwCTBP14VkEfdzYsB3sUp/PyOU0XD13VoAoB7Xky4/zGs1enW3Yy7bw22MCn+0/8k1kq
FP30RdMPyU+Ixefku5mV5sUUK4f67P8S/+SMljmv2z9HPpmdFW7rmrjyKJ8H9YfIp9lwcyffYxpR
zr/CnszZUpM6/CblqUsZiu1xfst3kn2be/t/ZjtNXmNnT8opk3grnMH+kOpEQDOart/lOSWo8FJz
d85wwsAJhuDx1/Am3hi+enU7z/t3bFNLxGra3/0/JTWpYZpMColTb+UX/0VG04wkv3Ousb6MDGka
Jn2b3hFSMBDgWtdO2/pHLPGYm69qdy5kssuJuQBlNrlxkmX72Kkm5d7HtS3k0cudNAn2jBVPkOE2
rqbOre6DbAo3ieF4AH7TuFvz5TglxPFkhymreNtERTg5TLCQPRWxrIbyXNT9kzsZMbY7li3WjWpZ
dYWbYRHB7H2CsQ+R5NNw/kMjy4ACUjtnV99Fa9M78mVVMrTHU+6R5WZfWLOBSCFaqAor/zDXuVUR
mAVnhvei6RKyOV4lwuWl8m2OF8/EqAspwU0+oT+bWh/dqZFPJcVdYdjtsVDAI8ZPHmaILNzIMNQ1
Cb+jEF88kYIbG+ul45BfkuwM9AJWdc2sLVP3kuBUtIxXSD0zq7zN8ykP4t2UMxEQD5lZdEgjpiz9
lZaRrDR7ZybgFOjp6VhNlM4DZOb6iw0SguNVOT2MR4WkXEYdW2+uLEKxTHpjZMEf4Jfw/VmybKQM
9ZreSVFVsDFAsSq8PTBqfcVEORT8aPp0MB7qytdTvgMPM6AfOw0NA2CtWW8ckN9UfK49n2o6YMzg
F1OC5poOYa/jlMvUYpNZW5m+PRZRCbb7lwW0nw/WDllSkJ2V0XErjLoIUueHlGxo5B6VNyutCIEb
UZ54W1IXG+LaOEqqJ7pU8Ce4XgaS3kOqVsea0Wr4+itn3Gl6dx4jiyMI/kq+EKKkB5hHxC933sXf
JF/KsNKXZhwxfYFLHLDf8h1GEro4x/fz6Toh5AsFt5Q/A4LVeA+F68ShQOoTUgDCUp5aXIv30YO9
Cj0wXTJDn1xMshk/KJvrof6+xg3dVQe226InIlCYWWc8vF9q4/zxf13k8+eoFNjEvNhtxRega5yO
L0WGA7SDpCIWTlra68xBEvQmmfnABjzB/eWeb1SDwoahxs5bdckROuwSu9qaOy7ep7BSDVcJJXDJ
R5AVwhjCGEYiabihxaQXvUmFioxn1E9M+RKeryAkcZT92/dzSu2MPVrUktw1WReLCjTV2zzf2vPw
8DAnc308J+MqoAgB09tFs7ekjNPkDPJGJOvxh0sjTT99XI3MUQO43lToy3seSKta0GfvOEn9W6ys
6zkOHlLB6OqHVH/18wU11gm+AG4P0Tj+DvA70tzjarv+3B4SXUQyd1Om06muwjzRlY9+4v5mo2/L
F0ABNcOnh8akTx4FEsO1p5atf6E96h/OiFWHK4IVg48ACNWXqVZekk6PqkzKJNvXScDvTWmeJuKC
1pVvDZfiPFayvA8H//B+yUNYK3ydOSNBk46pOTccPG8zYnsOoyVXz3xk5ZYH45a0XAIkIrNPYg5O
fxOj5XYoCc08lhQMKNlwm1J19JtEP85YsnShp0ColQd7gpRoYJ5E2ENLvxicxsSdUIZOWREX2pNe
dEQkCAJ+kw4SqdmGRaNb3lRS8b+EdVK3c82JriuhwHZQ0tEeYooCU5dzdCtNmvHJq2PanTu8+Hrs
TyFTeb6fhSRDF2oA/KyAfpKvA3pno47xZrkhoYLzVxOqFvNNUjYN6Ubv5eR8KNOOeJgU5Hf7nThr
RwgoDSmX4yDenhnZEGTJbY+nIl6fREp68PAoxZRO3sVwPnUEUz2XSLTzWnBGRTL17s4jMJNZbqBV
xd9Zc6tHDfUqPcTP9dOA+A2ugKVsfb5DBs3doL26ABLdyozqI26AcqWuDMarqEMiVLPFq65Fa3V8
wsO5zKAeXcLkHt6LLEBFyo5kwFqiEDsmsdSdPuhIuvSmretUDaWLbAGli1Ww9a0q9k41lhUKE+5l
VcDeA/QB+IcifFIEIDC2wosX3nn9wkyDElh4+uIRQqZLBUSQFtTi85KgFPeyW0rO8uvE8iw2TlPc
d112E4pcFymRCDD9+AXZFcMdmUzVgpUlzo0FC9rUIt7ZUrqwPGdDjFjgPTuJsNiS/ytx2nBWzsqr
K/3aqNxYD7fO7iwG3/lK5kNDJVpkJtyV07Si3vfvilVNxkPHYpqqwtrK0HtmvmV8GVO7cgVygNN6
GLVE+Mg920tdpSohTelaQFg1U/uMfTSV9MTn0itvPE+2S7x37KYfjL8nhI9zvOONJlBz9iX1byMK
SsvvnqhITsXw2Uwk2r4odheRgmsC+CXkazhm+AC+9sRyd+ahQ/CJeMuw1754Wh1lO82GaAo2HBs0
Hg1EbSjwobIUo7zKQxvZFBYRHw/qRGdq3r6fyfle6iQCLo+LSEuf1tt0U5ajnv9C3AT8YPWvH15Q
tvoT9Vv1Ps4hJABnsUyDTyzJoj8YC6oT1Y6du+5tECfQ8ignM1qEm3VYrHaX86DqpzKs9N+8D1kC
QZmJsPvpvzqX4PV0auAHmBfMhBvL7szgVqU+OtXNhHeJG72QgG4fNduaf5QYqy4H9vSJ+OGwLBuO
ckWX8+BgmCtvqFvqb15kdBqf3w8E94BXmmSoGA/nHVud5atf0HpvlXOHF0ufX3EuNEqgoIwGo5S6
CNkDanecbQVTB1hRKj1lPKjMhTm9GSa6eOMpsxO9jENmzzH8sdRfS709cEZT8B4hdA/3DEsZW7cZ
tzT79Zj0Y7xJSNDSvq4Ikc5Lnsb9+YJQB9aTXhF4eonlIDXOL1NblH7wh8LXhw09tRzmB0Yw5AYM
ob+UlbFRsTgtWvshbRqPb+0nJCY+dFPDNCsBwfEliJQMuQojFia++x92dz/v7fThCfX2XJ1WYXH8
DxvbTs2NMfU+parz1JjrOCtKHDRUyj/kyHwooPM04Z8xORYlK/7X09v6f9SbJ1Bn2JAtWOnnMWKS
Od5E+Eod55Mf0rNiRvZSfVNVRmjIQ+MgOwCVcZ4cf3/aP5cQXNAxFv8FHINpXzDO7Z+/SzwKEiB4
9B5C7W9+zlxLr8d70GNitzYsnf90nX89oB2GFA60zZ3iYvihooouHZAZvMF7Ode8KJKCN/7RX0hE
pKz59mT//gQ/Ekk4Q2q3EGAtcN8W7agPB5zL3EnqofTu32eMKQVJloJsEwvC79npgxGFZrx2WC/F
km8rVev5XHRMDUa/Qj36Q1XuFzKB3krBWqA1ShYfJboPhcYlJAMbe5O8L88PFcHX+hmfVYHucp/h
quIWpA6GURuJIi8HlhZGqr8IsDypIIiRohDvXbI4UffNTC1LxFQv+TjPR2zdZItgPxlN535We55m
f39ZP97GN7oCqS50TCwLo/2Hq8p7Vw72bIw3aV/omWl9Wwi1aKXU3WIEyrn674/nwgs29X8wbXy4
Zv7MasQmLvbm/bU3J6nMNyY4RBfVcZ8l/1VpzdW2ekgZnF9A9pLzy3QgJkyYuC7zm/NriUWyvht+
UfJc1L3UL4zfn6CeX/7Ttj6DcxioWpRCp5j///ODOC3rjFTQLS584pgLN/KryhfPHiq2Pz6Cvx7K
MaHe216g0TXETP18qCq2q0XhNLs4L0VGLMXMNbMtK378/qzepRj/ODFqhRyKmEv7rTEPh+Tno5km
fRk/S/tDtxJDhAkD1RmXUuGgUc3f/VrTQ8cSnFBbDTdVvLJbJLYgGazqkrc1EpwkQomG0/7Kdqg9
mLdk0SdJc4EyjZ7wTTxnhUXkRWzTcvraS6Tbya7LbaeWu6pU2LkjszG9vtLMdkptJOAih/Nuw3M/
r/DYjIhP2LgsOV8XcEtDJDNq9DLCLbCTT+KCjYaf4Tc18pZb8b5A8Q3+WbopzssKVujAm/B36Gns
vNUoIJDS8kxBzrkRW0O9DJhGQsqMC4DN7BNqW/EBllie8m9EX+rFnHGeAVuaozztZhtYWGqLfqis
dQO+Av/e1mv9MlckHJxLHpLXJnTH80LmbQVFZ23i+q4y0C9xX45UlthbFGAl26DhkHjF9UrBpFuR
JVE5Vz37Ker5ZV4+Cpa9objxlgGt4zH3TEMXA/oR1Xq0nPdhIfEMQm7TQlWUXanA+HQZNjmZuU0c
YYlIJpSYUqAesm9DGbb+tEuk57jys7uE49p8pt+gO1qsAXGA3uDEnBrvM7g5z0m2iJCQE+zTTlpW
HlUWi86/F7aefXByvXmyny13XobghrJZ3N4RKpsX9i6vewNHfcvEMSNsHlJ66buajGJA/dNsr92y
MQ0qE2PE0sxyAyLHl3i6KsJ+6NcN7egpYzcdBh190Sw1+wM0tWF68cyqWNJt7LDgRvELHaP7UlN5
MbAPnFtu73ORpB+eeFdBxbxNQFNaamvm+zqLwrdeJ6LD1C+d89Ao31aDtV8WbNm6EEUMrkwSkCpL
E1Abn6+BhRs/MsmE4Wcm8SZ4aOvQKPdV5uLVTpNkenCXzM23SzbFWOBHcQGtccX3P48XVDKae3TW
Nn5dN73xifgwI+mM3eeYQX3hJC6+MZ6+9CXvWuSYZkZGcWhBfw1KMRzY7FJSsmuYu6353BQ8juTE
elfelKFudtKUu2sa3T4njXiXN5n6tOblYO54dw+7YDFFyYj1qu9pqx5sy2kvO8dILquxH3Zuj/sT
7UtyMTYq3KbhFNz5bSrp67fZa9bLeFsiuN+g9623bhzKE8zcar/ENV3gunXxKBTBUuNpqklq51ce
A/ZjL93cqAO6B/JgCOc6FCQUr5slzN19mpvNQ+tQm9+UlGh6Ykea5HGa1+AbQlEIDkJVn6fAznYm
2IeTY4awsRrDIKKaMh3Oub7+0ed+fEfxMEOvNIjwFR+Iw37Gaq370c7TDHlybeysvhru+9Gh4MBU
sO2XWZ1E3y3Fxq2mAJhyGKfBl2y0w+WIAkF9723ovLtGtQPbnKxKl80o3OBHMLhwM4zY6E4VUdHu
1rGG/G4eRcE+qWou3X6wZITuuPlm5j1MFOhHl71n6REak7TCHmScTjPL2WvTL8Yj3GzjlBUitbcB
sx85URPpK+saWATCoyv8OrVy+iEJwY5wNazf+j5vbBQFLfLBde0ZuUBjyw2KqU5t23WCM0HSuEw2
JpDUm8WCErGwpYLPIUpxwmpUtidYKFhNWmVfuiXEEyq9T+60fDdVHN84Fo/P2KthS2nR1DYd6BmI
gVEoO2Cnb9rU6b4u7cyaDA/TkEBcKNBAFJGPlaHdEADifKMz3WyEXdaHhkLBxjar4Q7PUnFH6Awu
xmIYkkeZLvILYOMK5M2s5ii2ujbf5Hw/Oq4BNTcevFlbrudgIoqsT8uoXsf8W161K1RVs3oC7kZ0
Ira9O+A3wbG1uwDvkxmfnKx2vvUBNracev+4aSm4ctAYE54ysMonKrnyAvDMWNeK8FtnsKjZBqzP
8o2b9/LWm7xiz0QPlhyaqn8xWE16i04HbceUdo82DIjDqGbrkLej940s18eJffLjKqs1OMiWOBL8
ScmPhQtySIk3VTuWgcsDZGAXq78j6dgWybAx03E8emHRHiTrUAvwdB8+hvUQvuB1FJ/zLm5esK6v
PxQDXFv5bEzRuTiYvCm2cpbDA+tLY+NO9XhldH3xvJpNfRClFaPMopx8k2JM5F02MyOZeRZQD3IL
78KnMRO1fZ0fCld1j2i7BN9/tE+WWYPI8ET/lbqcvA1rKJ3WUoYPVdWtl0mfy92Ms01vg6EZ1Y45
nDrlTLc19vPPHZHW30UBAndjy2XEOVDx8FDT+oQpUF3OnT/hpJ9FQ90mqA+xh0GW7TEKS8oe4XEF
VnuFr6C7w4GWPgaUTr7KNRg+88JPiG3o/GtcogMaJi/bl2HsXtHhtkQ0VGG5DcjfEoz3rt6vidHc
FpTgbwl2b2WEMsTcd6TFfG0H5WBEc9f1qgsddYlQqaA6UDWfE7Fi8wSDO++EXwQXFj2/aGxX51Mw
JoLKfGe8GjF2d/NqcZ01C6Olmlnrbn1FSTu4KlwB93pnNl1BvlcZtvEVQK3klipLeQNus34qh+4b
/wZTKgnST33FCiZXfn4zhznyS7e1slPYtPazMmI1RQjVTSx6vnrM7HGUUDJLgeUztfxLJ9aOqtCs
aihh2CC29HEdcnXpd8MaAQS1ydchHDeViOubxqDff7kQGse19sxp6K4k+YPl3po7CziFAyRYzI5x
59dh1kbeDCNrl4Ztdw8Xcax2tHyX9LLKiibbGoRDIkKMY8s4+GPfr/dLUHcqPeilh7kNoeuWEKrG
tpmS4lSwJ8c0ZPmsXCK3UvF4TbUk7yMYt8nnyV+xjzWY9q+Q68XWdrJYIl4ObMSHJzdj99cxj3Tt
4JLDaSaQy+OLcfD8k4vTv84/r2KJbZDes8ROcrKZ7Mxj4NAROEiN5NmmY++qB/zTBYBPG1Y4CVVY
M8h4M5xwfsgEqpmNnTrlXbNYxnqY2GjmGmJhm1dkQc11ZHfU8a/xZq7TFoEcLkMqW6fcHrLIs/zi
NBjL3OefysXwwhW4dFWbc7WlTlMVWqXV2m71acA+HQzABXKvhG2igOhi9FlBdShrsaudA/E/vYIx
ChGpqinzRuswS5Af1ULjx1d5cVETntbsEhqF10VGmXQLEn++EIljBVtogqlPSQyn6rFIsDNtWuX6
y8ae6H57gz3cwJecfaKaYwdXkFMISnHU7J6s1uhex5CliehaXKkYBkk4TXAvK6DX3pwaTURvHika
+aSpd78YDu6LSKoA4lHETArOlZtnYKr5ziQkA28HJ6LduOApZjivFeA3kD723LjutWWMnnrMg7qK
L3IZON+ScXxe1zR5TNL2OQlbNwd3NFUPE9qOXRzE5IDx8jCZJLyO9pe/XpbQm286nPD7Me3CqJXt
SjIBMs12U1Vu9dDVpbftOg+ecUCU/aYbh+r7kMTrHu8znatkjq/pMAZmZBE+ILcrLxvnNuxT8eAj
IOq22Uith/GgDffo4aZXYk6KuxbvWrDrCSq9wtBM8ojsh2Sn5mTUwWBV4m+Mag6PVZPLLdSKcl/I
2H2o4X3swgHMbhG7xrVdzM6l3dK0bBLA5nj7kmZr2/H4rVa+OqyzDW8bsC6MIDMcZb+D9NzcoB+c
kC52mDbDfjLnSBZJjjGqH9tNaAFUiRoEkeqIdz6ZdwtF7ocVB+VrDCRLwsUnZq7joQTRshTdDW95
Xv4ZdN4tsPnyla8Q3/PWyfYKfkKkatIB8iyxnqm8AZYprPDQmGG191s/vzVys4tGwPtfTNBzAJYo
qLJx2/t2nH9tJntoNq5omq/CjLuTskUM+L2b8yDCgeqc4tbmpBOTCnc2jxGbXfEpZ1tyGicr+16k
wn8ucGB9KSwxXY10brduK5sjRsblieK7Xeg5bSaeMzfltRfHgnUrk6MehM53p9Cb4aWu9Ft7tvuX
ZgyMbFd6GY1QismNd6zdOmuivsvmgV7TSlKI9KfcighbNuuNZ2S5e122vf0CEG6AZl/yHTZ5CeQx
Kvi9EeUvxkS6tO4RrrztbwfSHqDjG7y+T1XbDH+17NrSqGiFMJ958U5kChjBNF4YQ+GRRpsbF5l0
7UetG9hb61gQJbkY7SfXnfMXNQYtrwd2nvtGxaihmtgVV7Tuust2gbq06RKWNFdzr9qXwh5g6vWU
GYG3jeX8fRgWnhUeSvZpqqWK+TrStcJenY/jrs5HAQxdJkimsnllMe+74w8HCWm8r/x0uHQW9m8b
g+XIsC1jabg7Q1Zofsmcc5+Gviy/+u04R0UvemAVQBVu1ORbD3TXghBVEGu4jTdMaXmYWFQRiGDW
026WKTh9OYcsPbu1N5obkU6WEalYK/Ewebo43dsRhwGKFAZR5KRVmjvFuE9Gj1ZKBd+wYJEG7YVt
7BiBvMls1tSijtcvda/qAqepNeHvH/u4YEoLvQa/YGeRBrEcoEPltUPgiIC9WVgyE99KZKMG5Hkj
mPN4T8OsmM3rIm28JozYbc847RWQtV5FPi9cd9mm9K+CEoAYb3lSGMYlrgqijwEpEQmh2IC1twQl
o0wEaJFAb993ilCiL0lSOE2ynXhUaKPgxhF1txln2RDil7BWq48qVUCQesgCo7tL0T9V5C5Iem0P
AGrovRxahFJDve0WxzDz21y1BffB+b/sncly3MiWpl+lrfe4hnlos9pEIEbOIYoSuYFRoogZcMAx
uOPp+wN1b3VKeSvTqte11EBGAHC4n/OffzCgS40FTGZmAFhM9Vz+j9ogD4f7KItGx5HIFGHWTJmy
Tz/BWkOsAwfcI1do1LYSJa6Qgq6je/gC6xyE93Ah8dRNTOUf4FUvvG+dJaP8eRRztoYPhwBdBp1t
Usw+RwTb8fA0ZgAK4fVAQaluzQINv7v6DoxdeViYbvG0OPKKtvjmEAk91bFXDaNurpyRy8OTp4Vl
IbeQXvCe+uQMnsj9nQ9RFc81cxw73cJDwlGR3+m4abcXAk28DU2PwByvSm9syFyU7iJix9RRThEV
uod8CGqtBSjsBJKab6FUjdXs7tJGuXm1Q+aOeQfYQdOG1wulX7hLjIoUm80wIYseN5bbReie9eK4
B+Z+9ZMIx+qzAbtmQEyJ+IxoGd6dHWyT+s3E3nxhSmNmfblrfexZ46mHp4JLn90xfFz8kawoWPZY
/KXTvQc79ggOnF+3ZuJsS9sfbwpLayyMnHo4DVPEIBjF2KciUnNw6ijhgo3ToKLFY2Uum0M/mLAY
VShQhEKhLt8EwTUEifUIS0lhC90xHpxFX3DcmxUFglHtqEDpEJNCeN6h992hjpM6VN9wo1RabKx0
7qxLWOalF89503zvTQbYG1lMtAbNYhBna/aFle0oJ3p5HDEMm95SQ62ICxW13WyXMkv36LSmxNhj
7xZCzrE7POcS7KywN8f66WiR7/lMWKlrSXwW7bTdAijmHh1qoOVtjS8PNr2mNw5foT6Qf77pRVJn
WzgdHWHio2XDKwLcuk3pvAkz6KjDbxQDNyLunDLYYZxXnQ3sRaCyj4TsinC6FTXUDVuPMsZ7J2Ik
ZQzZAd0CDyZQqbFxFCE7nai6YjsCmH1bICywNpLoYTQwKsNfQex9S6h7zD9UjBliGO0I4p5/GJCX
AA8LkV4bbMPyheZyzh7Qjvdr1eXY+ZEKxj/3buDl39giSfp1SEi9tLOT3ECTTN/S3uLOh/OioKsl
I8jIQmgKxi/m/DlU3ng/91XGJSBjW9MA6pbddLWQJN8nuljAh0EcFe18sgAt8niGG/NldlbHD6+U
7hELjWLbzb33iTSqdj/YjfnV76W1iQJ4iFlfLTD05aI3SI70LZpKO4/tUU6IuqoGgnyUT9F0SrGf
ZZtvMEfYpMms+LrkL0GNoBveiibQBMJ7EXNW00FYiLOOg5SZyicBhRlEkBA6nMqOogC7tBtnFON1
ivFrGJteKoI9RAjxOCvMBfZ6aLhK2ADBi9tn+FDWFODYpq4VryRarNlQU2OYjJ9MBB2lRCUdc6AX
MK+AS+6XGgRgs/hC+LtygmAXO2ad7xailEEoPOh00EZqEU+OeJ8lsV12ItV2Hjz9HLBbTFdqaHoR
Y3gZXqTXDyMf53kdDUEOClTb7Y1TJfZVmFVlAE2ImNFNbyXRlWFk9jfsJ8uzMoS8h6tXbOGA2a+o
YsaGOUMQ6S1+CkW/DXB+0PE460Juqj4ckt2Y5WHF/ts71VVh2drbD/7sPRlYoapbkKvSAQxoa02k
SW09Y+CI204NEeO2hWFi7gJM1GgKIhtVQ5eY3mpTWGSPhDX385Zzk6qO+hzbgL4L1/vm383ODAzt
2G1yG1a187WDZZFuiAp/dmTdfu0HrIazvAF7HHhtwggvPzeq+ufUmM2U2koZW4PK46YfkfdIcJeX
Jh2NU1/wUsd9XgZ3wzi058Hr0Hr0AUnB2MIdjcQMn0CM84BlkPrfhI0XrnJNeZl6jbmsbAcbF54Q
PxDdmDXUmQaIJ5AyPEoHPX68RNhfbuo8UofGs6fqglo2j3vArbhnqbvbzvHGHeWLdYWfZQY3cLbI
3MKwJUoGayPkaCKdJL2kDqvkHVqxGbueO3wOKfcPlptY33AtLL+a/AhOm4obB+X/K5qb8EYx5D+I
aeCtC8dXCMrDvRhNjbXD0JoW78FyT/4OfgC95dYHzgM8GcdQOnEYQE7hp6/nzu6/FIAdcYizyW3X
5g2uGpnVPhlh5X4qMgfnXhdU/yREQ4riBqZl6Tjf9Qj63+9KAR7Uf+OAKuspZgaeYENAR0sM4aV3
Zet6d0ORdezykuRAuEl9h/4ZkoDSuDoxa2Dg2BLcA5VGH8i2WclTTmuqITuZY1YXywkitx4+J7ma
ve9e47blsWjDenC3idubgxGHk+cSv8yLDZuFmRb8iAJ3Ld+MId5ZC2VjaGI80Zd+b6rTqBUo5sa3
lbd33WYOX4g7GthUOlFWRNXMgZeZJLxMDTyF2NB+mkJoceFYQUemjIdVpdFC89JAY3fxm50y0f4w
O0MHMmYoDVFvJwUGXMSzLHlawhYiVGklkbMGsS88pLi0mt3D5IQDLUzuKL/vn1pMRqciZhAb0vch
GcpVcYtXiSSHRM744Vs7UzjYQnwbsTmy9IbfQoIUoYMuJdlmERk7wzFBJlnge2SQVVShJ0nNCB82
DJiD7stopIvtkTEVlvwbXPjAV1fGIGmYrwotk8rfKiI7gmn/N+O5XwUiDP8QUEdoZRlyQtOD+PDr
cK4x6TkKJaLvZoGK5J9Tb9svPcZPPYE1sD3ncMJx2qzd3sbbuK8QIm0q5ihyOziYsn4uPgZdf/29
fp0u87XwjPeRqxKxw/CQWdGvXyv3NNIkzGzfylas2qb6J/GjLqOKhWi0jMv+ZlD5K/tk/UTfMrkb
q3aYke9qMfBHTgagYTiY6CV+kDO5fuL0k1XjeE3PaF4GmTtCgptMZSD5yAuGlT8fxf+4OfyNmyPa
/ZCH8Z+ylz8FY9y8QsN7bd5+sXL4+UP/MnL0/gEzgOgdUv5MhNYmq/ifuRhB9A8X9aQDqQfHxg/T
hn/6ODoR7o8MWglTQdOxTqf/08/BCT7CnS3EHvhTwdVx/jt+Dusr9If5Nx8P1wUWChpw5P/+7ysL
KRkpRVmJRUhqecsmmdzmOlWp/lxboBYp5cXf6VT+/IEBYR6mhzzXQbPy28tDewYhffH1UamiZ3I1
TVuf4d3hDw/h32iPfiUxeetlEYJhr9uo71r272EVg0ckesdee8QICyWCrbqHsu2nbb66tEBwqTaW
7OfY7QrjIuESfv7rj0ft9afLhDa+GgywffFtfo/uHUcd5pMOhmML1xFoCV7PHnDFPKIUDK8V1gdn
VaheAisHTFZF4iSSniA3QDpMx/vUhnCdQEVCfSPJGBCb1GK+GDLiwvyp5P+CT0MEdrDpoT0GR8U4
CxtL+LGEI7x3gy4vDqmVIH7hcoSdA6YQ+N259r3uK1mPEFanmmwRkVqUe4wqgCmQHi5HE7ncIyW+
uO3n0nq0qRjuB2dMzrMvxWuIeRp4QDvp90xyRSTsTk/V2OiDBDomuhJZU5/k+BfN9E3XGdm3L5Bs
xTOhdvzgrEiLkp2y6Sz95BJNQQ1/XwpsnrlV7OOY7/CzSei6zsEGbWQSHEh7Fyy5/YibN1MHxPl3
Xrc01y1EQg6jFBCRlLz+oQWeoN4L8NsqhiCkT8kWhC8qPyZmPcdOkvfnkrbtQdZDcl7GQB38zqpO
3bDwdZxheirMenrCftz/xNOxd6i5mNPbJBOOvuq+63bmfQgs1tDc6M/ZkLTPo4mLB6d/Yx79OeId
mvvk7GCtfe1bRn7sGPO9z0QpfzYxI/+M14L84rcMTRLiP04dJJJHuN7yS4FRyTUku+i6rqlO6Hw6
t9hAIsB7zh+XlW2JU6IUZFcy7rKZLNnlRfgkCTJR8LeF3faY4vHHtMRNYJsWNrAX/atEnjF23wFs
9OcQdcLBz8fqxABY3OoAj2A1FnhSSyCbZgcHpToJ6iwMDL2SSbqhDoaVlJd0xhTCD7PuFt6gB/M8
nX6gL1jdBoZyX1emyaZhtS+56qanJGqXGzpafpWT6QMeDuHGUlxxxFDoNinXl93ovDtGmNPWjbgW
vC9R/kR4G05lyVKcsmb6YZU585bcdu9SzvUdkgYQCSCCmOgIF64LJh7vOJqL16AipEsR6kXKnzLy
Jm6zBIDXTLrvmD8sN82c6c/2TNIdUEgZVxhA7o2yGd7gzpDg6JJ9mKXVsrcM7i15LOaxIJ1697FE
q0ZNP2giyv1SarIFuoUn4fqtPrgW679n3PdcpUFyrmT5PBtyPGdkpWGL+m6OkQlUaQAdQ3Ov7VMm
vRfTZuRr0ws/pTZrE18xQodtk7RBBEUvyMWmH4MbiFtReCxKZU9blfGgsJcc9knnksaGX9tdhN3b
3Uhs2mODL+Xz6PntizG4rNaghBFgJ+2LU3sar1nD+6RCHTJMKkLqumZuX9H+yGabw2feRLhBxx8X
h+95dZKtNC5gJc0QK9i+N3Oo5RchjfKiccYKN1PK/bHIXjhDWKy3/mzmZMLaOB8qGE4HD3LYd4FO
hMdUo8Ii9STsvlp5SV4X/ojOzgemuh18Ow1tMjsjq/SfJ5Kuh+85Q9TnHEfPEqDWWRpkrMNiNDsq
whmnP7wbvfOcOqN7cVYzwG61BbRCjdjfH7NmA9+mjzvmonvWIWzDAWEjWLIa2JrG5nZsIxseAVZe
rlHeDxCfH5i8XQxvhKIj6n2YBd7D0nvsnYFybnsv/ZR4yW0NohGbAS8RSdXZqbbLz9JzMUKsErwR
Xf0tD7Enc6fxrczs+mQ0KR0NRoqIHEhAsEZx3dbTTDQI3ZZM0uEN+KDbpbmkE8eWsZp764yyIYot
XOuQ53hpnK5GjviN6BsjEpMGPErOqD/OBOF2cV519FUiSrqTa5sVwc6KvtBkss18Ej17XVXvqViG
EElNExygsOht5DYXvVpOErcSXRVZKm6Yl817P+OF7Yrauso1uX+Y+qWnZbWwBLrAzHK1tUStq7di
cEJc/qknhRPyWjZWcchwF9jCETOvZtRxxzG1PgFqRnvfxUaTFGAcNW3u/Xd6GHw2vS4C/6yX1X8z
rQbsMgUup75FY73adI7ErZKjgXVnOkcWI4rIh42yWntqPD6dFpVn+uH7yQEeMv5azUBtNUCn8rvL
yvvcWEMpwc9H7EOxGiwwglYvoTcx93RKddUwrYIyhPMokAYmpD6ipQPAD9ZLARrYGFOjbBtMrkOF
6HQPVGfhHnNcjE3Fh8mpZhPJcAcE/9oI3qsbd3VEnVdvVAxH7ZOtBIaMWcZbJUm/IR+6WfmuerC8
s/B79XmZnWLb4+e2DWVznKvYmYz2bPX+8spc3jsRk7I80sK26RYM+qiQlZ2YFut7+DBLPGFTeC5r
4W59uyL+ZrWAJZsHvz+XQIVgNYhtP7xi037GWlCE+85gbG1EkIvm1VcW/XDxNfAJ9aSFnffu6j87
Ao3vu6xCFZHWD5VlcJaDyJ1yWknixKcpTo00eqrC1DpUOSveX71uwwlhRjQn7k0L1wTG32xcagDa
W0RO+ow3z0TD6EWZu+t83DFBsW8zXLqvIzWQN+DOwJ0b+INeXLtZeSPkYp1EBr9mm2d+f1UtifMM
yQP8N/AYhDLEreRVptMy3BZWYf4QdV1XsRuQIBCbhTmdFkQiW1Eb/QGOgfc8V2Oexwtp0tCiUvm9
diAG3ljSnRYSXxor9Z6jyUTDjC1EvoElInGfJbNzH2Te9K0tcFQdkGFRF4juQamhin38VtpdSPD6
laGqCuxZB0XA8qsxS3Wm/jrqACdQYZAIgNmGlx8V8R1yW+Std6fhLR6XrBHfbEEsPFCtLtdnYwI4
UyIVhcM5VFnLsfBkc02sucfmLIa3EE6G2KbzGgdvlpIDR7ALvzdVhW+JNpKLKIP1HSgpE4IEQ8I4
9UYKoiyvt10mvLslz42L0QrB5eZOth8BvMOYiAskPhR5Wez6SnwDU17EDkfdjkwUTmdEZt35Z/HF
yIncAkvLN2QmRRjbCC6ok+sELTnmLfaOMhQBArNeCYOy6wAaJ7eMCcvEbCTwm+sK2OoI9kX6QAvg
NfTknQDq2RDnMk9yuKMCMi4NYRpPOXLHO/SJZdx4vrhNl49vEXVfHYPR5CbpunVTXmr9PhTUJHkU
UJ5EXWfdsw02b47w2yk2UobLkjLx7KdsRJu65+toKfQhg8f1lOUmz87qjLABIOj1AfMHfWVOBdc/
TnPMMFgfWoqtZyEJE0fqR/nLYA3UVFUnm+kzAK9rPWIlo99DLfIDzsgtA0aUwVY+EyKsvTVkAV+X
6lTaUffw103Eb84/axOzSj0Cm34J0w92oF+7/t6OyjZF4XdMDbs7J2j+1nI4aMgC7PoHmHyU94ym
4okH8yL1qiOeG272OHh/19BYa1v2a5/485s4gWfxdX4XRoytAypXdMPRhSyN0TNTiLsAqgX5nHNy
hrKKADHizg6pqe6DtMVVRHrOcRnalzRpWJhA4GfpTPoKumb3dRxRk0y5rT7PVNw/wYrv6v+kP9p/
0/xZvzoh/LxxIQ6FDqkFIEi/f1l8z8oAArQ8Gjlj8gmz009a8KIhIMzujJFVx1HEArMmVnw5kO1u
ck6dy0a1r4Wgbg6wJPqZh/FffqmPlvPXO4ig9cOrJqRx/1PjmzIwtJmQkQqDZ6GzhZOexJKk7utl
NqZDD58oZmtedtpxOHgSINKvBSPWAz5tvKbuVF6K2V1zvf0Fk3KvfRN5FTyEfiogXXTLyhNbh/wD
uWh/vQ69f7MQkd6EgBer7aQf/J6pjG7bEZWe8SfpONM0TtzFrqsjvW+1YnfKmzmOIDS8T7aejpB1
yC2z7NewEF+IAiLvBhbUzsCbnGl93d4wPXSfJxDhm3xxyivTrJ0X2y0zdYP/SzNd9VkWnvDaKWPT
zZd9rnihGdAXGJrm3p2J6f+uZ8h0UVUdXVNALvtGYTdFVM8MQjzCWlp3GNsdjcuU9v4nA2rQex0i
H97YjesyGJPssaitqHtnjJLGkQ0sS1pqdppl+hJm2qg8GW410BBqduKPWl1hJf7QVN26p0Rr2V5S
0Ee1JzeumfsMnEqxs1UibkvHCq+LsaMGhYC5hV00PaWLgUE1ib3VS++MpX+GkhFM110yp9yknJAZ
Q8lBkT9QZuZ2FE5SGUfHKUaYS549GNKNuaDGfsLgxNrIzhHlKfCXKj2VlDRxsqx/sQpLk9iU8L+3
SY6t2AQxKbSvsMGTb0G1hki4MzV9b2YFDPdkTd9Mm6jdKTbhbFMpSnlklSaB6hT5tNPmke6bLTZ0
5RezoNW0QfG30jNaQE/8tW9gzWFKn7nimy7GEsX/kB/GierKLGdW5DLQUDDlGJ+GvHoJevrHRVni
OcRDnCGHzqFKrvcuKucwPy+ESW05dIwLAgnnZHFwPJTOlB+SMmPTC72hOg1e2L6iVmhfXQ1LZLAr
G34Z3jVk1YX9PZ1oeK076PbjTNPvV438gspVflGoRU9MBtqXYYUfmiyqtlk9YGbsLhUEA13NIySV
tD71sqBraYI1NjkPHmqnH59MJMU7zIPbVw9CzcF06bCERfcc983CCTCQOvfFLgCUuq4St0NAVuom
cdlN8OoIY+B6OqPEdYcAL/GFd0SaY4PVvcU/4obcfW8bhL7I1quNpDvEZtBdjk3GmQgvF1TOnjly
VLQeoetYY+9pzK6r2u6+znjGX1szMAvOHtF1iv3xOddBc+2n3LieA/TQmLa3JZ5legpJa0WJSe50
uCJAIPbiti7BhxDAgBBgZfMe8pYumD8u4rn06/tJBYL5zEC7zVTzzmqg09Vzhpm5yy9tjLVwXr+1
ciNArDBvWRhttT4DZ65O1vqqqnV/N8tyhp/NMeV1atyrHvtibLVmezdOOcjI2rzmyqSBz5TbPZgk
oMF0Yrbw9nEWiyYlHhesR5PJELJUKXrBdRyfW7WCEm0V6Ksl9fUNE43w+mMZ2goIhuXdmUc1GvrG
TUE8HKm7hw/Ep3FYPshjKkiNICddTRdcYXGBSysFFdK38HpMfG/7AQ8YqcFtcDs6WwBHbv0K5C15
qPelABCas+y9h4d7g58AtQZZYxQjswILCxnnM31R5QVmtGKun5URfQol2dgG6r4bJ8C5BjL/Bl1K
dVILV7RK2gFxFl7BNpqB4AhBBP4rTWSxo9HuMNwAzgC4m3f4Z7G/qNq7s7F5/kTBY8JrwFD/y1D0
IIKLW3ZYn7sAZd4wd99TmM47iWPjZ8wrwW1Q+J8Qcax9o8u2RkefELMCUmOglCCFImh6eOc5v6m2
AXu6hS3Osfj4D/zm45BUJdht02buyTCNH7iVruUy8iOYvDXFUifNcv9zaeZAl8IFGiKvLLkgs2yu
RQvNDQF9eB0OsvuKv/sCkSIFUxvXWhmjuexucum0tqk5sLkbtnxrq6h9ISA8JHeni67ngH22nTNu
YeZ1/Xdo3DyQshytnaR92kmf8nwoeKfX9dz16zYsk1ZeVRJtOhT3gJq37PlxDlF8whwKvmxFvalL
1lOABu3FClkS7jLKt7FL2tfMStI76M/ARni+4NTu0gCwE21Q1pQEpXKJH+VtGIGQpmVTXup5AkVi
Yhj7CEEfP84GawACHolquQvY8sGdAFEnw0NjmxrQRqI5CmEsU4Z0urQf515P26h2wc9aKmGXdnib
+YX1KKCsb/KRB4ljX3XSldlcL87YXMMXrk71+gwyysNnKede7PulpTifLXYzlBhPeqZMFiX4nNlW
9qNRN2y27GNfWxmK5wwTqTP4BYk0KySIJYl7Cm2RnNMGxnWhKD8lu4lgaCjLfYo8et+1iuKEQRQp
iOw/g+OAgra4Y221ObUvlW0AUOO99+TkCa3CQOHs+KSe2YDLOw57Fs/HNqsC7gbIkb7qWzf9QlcP
mwTi8NpPSAUK1Tvqvge0+SwCqnZcQ4AsJjlxM5nXHrKJ9wixKaeWPwl6PIe1RtTeRWH/9GIjKsth
gHvdeYa8+xqsW6WD9HvX45Z8RwQRI0Q/J9Ear6edg8cObReQCe9kDzrdEHd9E+CI+eh0wfgjwD3j
MPDVNw0FnoMZJU2IqFrxTdY9JUcnl+pUEGuzQUWU3dlB8zJNHndtNe48wffnVZlK7gE6KLqhae6+
UpUU7mZUGhZOZbYRdcvo5bezYbLJYp85PcFbpoLUE7ZKIw9c42B6A9MquXz88ePFJISVI8awxv67
B7ntQr6Fe2qgWd8rfIj20A/zQzu3vNA5VWXK6BqZF7ZPd64IFsbCXr7cCH+hI0MNvFeyfB/dpYXv
LGlgP4DiQIoX16YzndcqAEY6LRn8h/EAkMAVzyekgPNxDN3npU+zeFknMQOAyg6uNh9WooU4Q6Fs
f85K/2dU+XejStw4mUL916PK2x/z/3pGh/HLqPLnD/1rVGn9g7ESitjQtWjx4HH8cVQZMNBCjEZa
C04IPhO3f2XOMeBEl4han92L43c1nkP4OmT/8b9dkwEnTvWRReuwcqW8/86s8te5O8cAzmJU3aSc
4DiLH8JvKmtrApgxyX45QXbGUKVsUu/O6Wdxu1Rz+DdNz+9z0fWzUMGb3IvIRUL+25hykkSL427R
nAJ4RbfLpK1bivHoSXMHrkGco90fHsW/6Vl/76/5PNd0MQhlzG//2Yy6N/DbF6HJ59UQrDeES1BD
FIp0+EG5zgkfYt/ZOSq0HmefYdhff/iv9IKPG0udhF19yNNb3cl/BRo6w5SqxXHntBBg8lZXNcKc
CirbtbYWdVHJEpGoav7dJf+bWwyWwITUx6UeJ7Df4I1BUqTMYUDJzaz5ngyZ4Q0uB/mcUd6r+9TU
/+0P9C0WKR/H6mWG+ruTcrHKbG10yscMRPgqIBI61tkQQZ1yjBeMs/znv76tv1spQB3wTDAIWIJ4
SkR26P56X7W0zCVNVtFrq7pyM/oJSb3L0tF3hTPGtVuYlxZ0tcZdPSasSzd5zRPh3cHM4V4uzaqK
Cy6Dtm3C1TAmQs0nMqB2Famv2g7/ZhVgHPMbyMP3xciZd58xQsTL/tv3bWqmAUU9jEcvAPmiHrC9
5EqmlYnXVwvQhHjdms8IAjWxZnKNJuYd1BdA5/6Iet73z7nEFLdGNPCaoi/1CehaPfax4sZLF1Xn
LQrmOjtPJpj27iPmuLYRVyDy8MizHm3JAW/0OeJibS/hXnjKuoVsZ/S7MTDbK9Ih1MUafHWfkNBe
bZZ+ar1vIcRHHftYUk2EKXck+vaOp+59dgk/xq+ijI7AxsYXhp0Rxh4r4fnUJwX2sxDxtJG2G6Y8
lvWDVUoiFdBeXqibgemk+6AaPV83ZkYGt+/Bx5wi1yXGed0Ies3MaqMmqe7JeFL3UdkhwVRJx1Su
sAVnnumcfOy2CB+eGBWGtTPdm1LieB5RSOdQpgr4tlbvvSKuUxfCYCx7U0+JeHayQV2MzrAevQGI
l+Bq0qbBDppToyP17MMpHLfQHlrJnfXUZXR7rlSULpZmleQDUeInTzaKApLow9l7rUbuI9AG940I
yMcx4qGRXhs9zd3ivfoEOl8ApqIdikWPdMo2H8JtpIhc3khM1C4/12pWMIfbZk7OYC4vCRSripYO
y/W4WHAfIQ9ynoifNpAVZ+coSPL6hIlTR+CUD1Fi3DGmzL5Q7kRPISMuRj5MCtWu1i7rZGp89/Vn
1ZnCSE5Bl64j3UeE5wL9MPzNWRmqJOPMRdt41UNTxBpQtOoepgWN3UTpnUPEZyYKrwRixM886QlD
+nSDetBBh1DQVyAV51pnmJ+bMG3748f9d9Xgoc4LXfQJAcTj0MjktsP2/fbj/0Bgbra1Ngv2jSU7
GlzrQxYMUzynUbRHG8UCztbXw8dxURzRKCfJFcRlU1CSzvg1dCqMLg6mHj1G1dC7IOBWoVncDkhA
hbcJaxzePgm/MRmUJK1Kpj1iI71JHIMfIK3eMk+zNQSTwtHPII9coqQ0DhrqDoBDamhmA6Lxqk2G
6kxsmgz35Gsba6dnOsn5bUIESUtUyCW/n7Vhz18ktz8j67qZDtLOGrRSZtluDKwm0LZhtITNrcd9
lo/AUBkGdxowowHtY8DHqKFTJzz33D1CBecWOGbcTtN8TCKtroa0VY8+xoTbTCTwmSk0SQAn8x2G
mvUVPkUXC7xpN4NW1h2xTMNlzjqZboZk8l4GfNRc1pec6X6JrbqaaCOPbtim9QYtRQv43RLc1I8k
n0m2TR/S7ZloVv9WmA3Broh+NVPIueaBKwOm/IKSk0Z5Gd6iHBZpjK4vzWMWN+PgBBvfGM0Qph5W
ECRPTiPRoFiG+3nIUoMgr+61sRCpFkzq3GM3O2zZVgAqt0EUwpLSpSffMos/UDSP6sIxx1q2kybL
j77BeH5eaJO1HMSzZw3RU60z1CxBGhJI5k2TuiwqS54UIqFb4YKIablSK7GKflVtmD4VzPWvarrj
xwJRzBfi5XixIu1hOG7CA80DxzmFIkKRFjEOiTlG20cfkvSSA+xJLiPdW04demcPLmT0ZZHCeql7
w1hOC1TB8ORAXnbmrSWkIjIOq+QzE3rn25JOnr9DLHT+f0Je8LDshGviY5Bl3f+PmBev3uATbi9l
gNpwPnnOaEyxM3fWL6rexm7uFGq9kT7Zfvpd3utqu0N0WMFj+invbQLD/YYGmv8vOLH6z3i62sm3
KJxzUioxq2r3S9jm1cZOy9GF5V8a13WVj9y6OhGbBQuXr0Bn7TF3m/AuyBwzLnirDgEAWrllhief
WxVSiwgQx2tnzo1taU08Vixh+11ewczeIaJN+9s+lPpEZnh4i4sKxwKiSLi/lU+geQXq4CWYAG9K
f2HRdCMrRTKRi/EOW5fSSCcdp1lr3ZKywF7a+ZjhbYqI3zOhtz34A5ienHk02wprc4QDY8F3CkJs
M3Ph8hdZ2bAElZNCOaoEPjCpXbLf91N/1NnEPjh5qZQHPB3g4IiK3A58UKpNwWECeSwI1T0Uat4l
b+6qQ6A5x9ueD3aSxX1ddMGG/7EFBtmINg3ruXXpg1Rl91CW0C2gm3LJpRvNA8agTCd7kOq3xkHY
u7GcnpPfXjoPlg7no4SyCvbg5RWh42ACWVxhJkHFoGlRDj+/lkX0S3XosoJKIjEMjq8A94yrrur7
I/lnMNEYGT3W6DR21lKRd2/Ptt9gwkDitLrB/5P+2+yj9nm2O0Gv7U1867wWXOs8LXxk0wOOXlxE
MWSmCh83zRp327QrmeOG5oRbbapc/zyW6P23qBf1p8RovWc/s9hYNZnV17PoyZX794Jul3R6yb4Y
WJ+q1jDPYsyM96HvImT0c6Q2fGeqnNwIoidbzSyLsOo5ybtoAEvoO46ntF8H0z2K5YVvkq93FFI9
9iAePEbGAqHHgdmzVcFT4YkyTOYxjTUrrkJifYsrLl3DYC8msnRPilUSGjKjfLIMjSqA+0Rp+QmG
uDF+IgC38gVktizNwgtRrJHPUSWQdKPbSTud73WZG6mFgJlqOT0QI+LhK0K5ASTh7XKMFMptUtV5
DKAD3Okjp4ZqQg0S2Jl5LlG6kAw6QJczMoJ8MLyIFSyBc1Us4obH313akJ2lnDLjqzKi/GygW2ZW
l3H0aHJ4UxuKh1aBsa/G2eM6Oj9uSF1kBBqh4ZTJFkOohzRkS3f6FPDeTC10ExbiFaW6UwtcRQRC
ZV0Y+SQtAO9AeuDU5/jnUpEMfl2+41Tr7cOpTY7R0taIeroJhXIr5y27wnvTd+9Gpe8i5c4n1jWF
wdiZMLCEeefVeoonEyYUmDz4soebE4rTT8of9b7gEI2LjsQ9xZDTNQf3Rtlj88DT5lxuVHXm5KsP
MKUMNFvOsA1rf5dG1c1YAq873Ko7U4v0szD88blvbee2neqi3TKPoYBU3aEiLzz2JxQ51oXKjzk8
GpZ3z4cr5aDDynPg2qhA5dugy0nCo1EsPzy4GdktM7GUiCcPKw+c5EyIIFQEk9ganMASLsC07iCZ
yQ7BecVuOBQtQaa2ccIloINBVFYs0jpjt8n9nhW5kC+doMeoMnmvS9KzthNld/zXbdTadfxxcAoL
OqDh8AAWVk7t723/go8NMK0jjsL7KPondB6bfi18//pz/tT98EHwI8EyaPvxIFv71T8YH2KBQx5n
O4jj/2XvzJbbVtYs/SoVfY8dmIeIqrrgCJKaaFGSrRuEZMuY58T49P1BtXeXRLLE9unbvjiO8Nmy
kgATicz/X+tbSWayGDcWpeGyriTULUC5dgROc3R5Xw6/Hvfk6D9dIPI0uHHolTkpfh6XI3miRXlf
uH2UmC9CIpaAIiei4Y7Wb7XM02z4ZpokpM7Ldtrlfj36sVKawWEdcirmAedDHHsshjqieoLz3oX5
zgEE/oR6IG4r30VWzWov/II/5aLiWDLtvGlws7i/f4T/X7G7ULEjLVqnhvU/V+yuX8Ls7WO57u9/
8SEmUjOpxWm4X2yqbMycf5wFyl9o+i1MO4oCLHAq5P1TrbP+QmFuUeTjhA/39YOzQNf+kikKUAqS
CeygDPVHSZEn1TpUIhplBKpKUwrh8bQeHE3XxCCNbu4tKeUYA3z32w9340zR7HQIWtmGYZNtyUc2
lKMnx+uaRPIJgnbbCY8w2jSuSaI2uaX/557/C6NMn+LDulB5To8pb5J3Z8+19Jz3bxwX/9+GOFp6
rDDXs7xliGbcW/J+CBfl+Pr1ECfVNpugLhKT8FMB96SK+/kqeNurGTiAyu10u5y1kuPPwyLfEw++
NgL8fV+PdvLNvI/2XvaFXHNiK7F6gzN1brELzScAU80fYcoJKfGLZPHnQykqtFKQfRSmjwNJ5ZrA
F5q9XBjW2kMf6UQfRa1yLQtwNF8PdfqGUKcQ1clWQlX7RAQFIkEeEhqgLor55grgUeyaFVGAXj/2
E2wlXeetP/zp3OBWqoqmaLhljIlO+/mLM0KWZXBdtTvE3EX6djgQK4LiPYk/vr6+03cBQ3EUw28G
ApdXwuehiMCALwMix+W4qtFwJxrDlUo7Qt1GZnGCfP6uILOA7e8YXDfoRS6MPz2vn9/0jA/ol5eg
PS1NR8/z4OtFIMdIpOxU6qcgdx3Df/fw9UWevm6pr2MpnBoWLJHHZWde5TA8MBa7Aovn2oI7j0yA
o/1NosqjOw5qj2vY6Zd5RUL110Mr/7WJ+HyJNBOwg6kqq/NUbP18i+tEKuBglpVLimL1M6fnQjDz
JISwJgOJQdoClaLU25LKg5UEnQitN417EUFcG/q2W4cFnk81GDVlHo51tKiEtQe51Bqgn/ruyqlg
hKGvlheaAFOntJ53H8pqE8wsDo+HIbb7GWLWCCpfa83tvHhOIWmhsayXSa5QqcbNDUwgQATkKET+
SFYAJoZUs7hs8pkZVmyEqibaBLhVd7I9mj8k2JMKzfchuMbKau6IURjmo0zrNKCQRE0obZgxk652
bOLmqnHS8SEU/DUoArzRVvnTVFNrS7lQW9qUqha1NbI7VusrHfLLAyVYfU/+kLKWGitZ5loVbfRU
pkXbKPoKXBDgg75Qrm05RnOoAUxgNWi/ada0xQa5f2XhmF/mdHVhGFKRvwalwzspYv3z8ybYe1Hb
/XREOuxb+uaQOjzAUVYbMV44vnWZ6X0PiqaCvIy0+gE6nqHhtVXeqmoSeBi1Ln5L2BKCObs38eio
5Jysek6W+7aV+UXTDcY7cJ0PyLhmqUhhjQ2GuUhJf7iCyaEJ8k58+PIo94s5ny+eOwY6oSaJpBtQ
/2/gqHR26aL5FY39gz6qb07mGD961fDnbOfD7wJg6kZG9BQTaMCMzjr9Ddll5cwCyruQp3h0Iywz
Per6EZyJzO9Lez4HbNR4wjjWjyEOZFCrpbVL7Sa4LsCXLjWjUrASwH3oEjXa+OgqFuSyVKsOpeCa
WNgRub5p+nPHI3vA7qmPzkeU41tj0FV3VDhb4kMy52UZiXWX2livjai9j/OxuReFxw9XTs3EsENj
T+ZZTuyIF2+Rweoz4C/NsnUcGHQOtxOxMbK2tCrUhcr+5UbAKYs2kWqmK+AWYBB7Qnc86Iee8k1v
PH8/TEkqBMzEACc6JIMqodVrsKQyhvjKe/VoMSKnonN9o3YOWFjkZVYz05WsmVG61W8BBKmLCd0/
hx+kb4eiKq9KyVK+KehtNqZTmHeepElrdC3anQVx86rTjUcvLcc9CWscH3ujleFrUM7ZlJVAjNaw
nQcjGnivogeG4RRdLjjpNdIaypz9W49i+zekNzGvpbrbVZbivAaog5eIRpH70baTl1ItHKrDznQ/
PMg6C1pzv3CFcyfrtk+WODxkxDPK4Kbs968SnwaO3McjuR62AppHMpS1jaBnbXR6990GZvKceUaw
l1MUUpRVAInpDZyl0ApborR1xf6pxLXYlmmT3jRa371UwH2us8Z3bntl1A6Jg8lwVte2hMZLMXbQ
5oY7rUXJ5ReVfReFVfYyBEa3r4YB0QEI3pu+Lk26V+gn6tIxdqCjsrVSGhB0BmHeF4OGHG4cRuqt
FKPnBpYpkmOVafFKVE/sq1G2EDVBg7Fm4KkMmjtavmo9Dr96aArEcUke3JdVG/0yUFK5pBbVy1hK
gTt7irHoTccAh0qjQgDqSxd1AdWDnZ2+bGSdJMjOHCNq6GVwGNXUo3rQJvxOw4MzEdHOmCPdGLd8
Wv+gKvm4HdB/7oxIHeaJgaNyjgVThsaVRs4GXJ2xyqPIxEfnOxujdoCUmH2+LGRfWlcBECQuABLX
3NZQx7FTh6A4VNVGquSEyyhRlnmBJy2BjHACxPPjzFvS1iE15Ow01Iy6Xcbb+LUrhWAZa2PU4Lq9
Big7zAWrwHMYOvhUKGi5Qo3aNwvOzQr3lbFDwZmtOyqj9oxo3uKljnPlVVgZavbECSFIOE3yONR9
d0tzPN6+/7iaIS5LQZ9uhh49LNoQq7vtxqi/rbFiLVubvMglc3jk7pKyqit+Ws3ehwxHulIzEy/G
vBlUh+pGIuRXSFf1k9WLetEaAT+qV5q0DEPke8jaIoKWfPWbnvXeD8hh+SM1iXQtnCZbG8boLcMR
5RpVcUp6IBDnct9QvM6bF5TLYmMjXgBsSTjKwvZiVFUowVg8q/bGESAh6I0Y0rJSnPDajPsWQp/w
ndkAa8fNJWdQZ3ZBp6hStZYjL/6PbVQrfTyzclM0CyThoyuygg8MP2p0nTA275W+lr+Luh33oV7z
1cHEDOdGAeTT6qYiwlg0DBvGaOTB+tYzpWrg4VmEIsKB6jpUv3z1tjYqV7mlVZsm0YJfjsJPx0lk
3qeVaew8JXfWvlnXC7VES8zTL9lrToTVBoxS/Ng5obPOstK8d0pTWho6nEBbiGztxw7kiullVzsK
3JoIwWGHnRAFX+sgLay1WeDRStUgb70oaZkss4IJbnp6vB2Z0XNYqWKZ6nL2FvEOxxAh14eaSvYj
E8m/MwPJB8/ROPfZ5HEy9dpZh1WRre1KM78LDoWCgAjVu0rQgA/zGmrnWiXG6w7b6LgfJbl9azNP
ekitwoP+KCIgIpL59/cUi977Pch8WMQP3UrWC+WGyrF08L2YRQYv4DZK1ElU3oc/wEvaUHDbfiXJ
jfGkNYP+1FaS/hQZxXDDm8pcBWUgQaMOpYVEfJlrefi5oKVW3/IAHJlaZTinYq2/eb/rwsAsQy/S
RlUpr+Qsy3nx1dHOqHJlVuZBPgFmkacyEVe9kcs7qwS6kzmRoPMttGWBmHTeV7LOQwwiBzTgkNx6
tuJvlDQYYlLVmMs0w8e9I+k01akS7EY77G9wZ3pQ4S0MYbpoSRsn/eoWbEi6MYfeBPjitWtiPSGH
2CEvQxl552M3lki/amy3Slk7+IccDRwGHViWQEX5FkjhaxUPIHeCctgg3stuyW4aFziVGkr5dTE8
ElxlGDNiLKPl2Az1ygILfAXIAvhabEW3FPOlVaOp8VZvUmMXgXS6U6xOWnpV0d+WdNBzUJmZWFtl
LkGHg8MaL1QFFzgc8oC4+D5pNw7Eqw4FdF1cdwKZ7TwjSvKAKiJbwZIDHBtmVr1DVCxuSx9pY9Xg
7PFxQ1wPnVJsS8/sVppKFRtDXiYdahneLGVT1LMGoKdZ0rJsyD6Cu5kwACmPNBsi4C6lNiuhsayF
kiWPcsN0gp/MttoJlVfZx2ypp2W9wKEmvxL7h8iiD3NtJum1tw2QyS5DxVC3xD2N+4rG8Nbs9GFp
i6Ha2IMKj1KjEwzXyTHpzBK2y0qX1dq4l82eZ17ScOhDCDP7gy7h9YZaHbRXAESjuceP3kUaTOhZ
PpaeS6gjTLeJkA54y1x36OSmK6It1aswkKCkA9oHIteE6b3ax5QEidokgimQ1hyyqWtrEEmeh2yY
0HFZea+1GlFHVO93vtfeNQW527lO6nYXSW92KayVomfftSZRZkk0eFdcBpY0GTsRdoG6Wtl21S1z
1NZrzwuBk7Evgb1rVM08KWVryQ4x2BZkQs1B4t1h6pwgWhDVSYb4WY/GLThKbUV/Y8LsK+UGj606
w8B/6HKA1pUt+S6r1ZobQZqhrGcLcrOrlRPb37EIATGJQGoSqYSNye58wEwaFBzZFhJAy0JfJlbB
9WbFBFtvwFmwYmdw0qCcZoFPDLOfLc0wAW6day3EvDEKnv2mNdy/qesNEhE8Hp+p69C4drScirss
i4vvFMjhYGLO/FFLRfOzaC3zns496VCJjceiaYdxq4ZOvNaToHGlACQVhpNSv9PtarzDJFHd4+WN
l23aWMO8R+q+MMkcW/ZW5c09vC2U78do1ZYxZTE5Cbd+pAwg+UT56qDX3ymOhG0qnnL2Fl3ua12x
shsQ47s6e2V7r/zoORdfK04j5HmlGvm+JW5IAtvXdHfeOOQbMQTOBEKtV8JueBTTFFps7EgBIKeK
b3HRe8arHuglutNgHG71CeGeGSJfNeFQ/TCBiMdYEwL1ZrAd8QNdlkU3J8yecEHK3qzMGu1Rnt6Q
ppIWcLztAPtj1uyCkOR3kJLiiZQrA0V02W0Tw293nTTEP3Fh07sBDTUxsIV311pF+iutLZmOgQKw
/L/B7kqs6lfEJFDmQKSuQUnKdM66td4sB6zuD1pmEVnlGQohx20bQHoe3uLWsr+ruQXHwBltsCV4
+o06iUBvgRhjjzfyKqR838waqUeFPVSsZFESuUDM4UdgeeLr5W27HThVABHQMNHCGfbrYlzUYXqQ
kvB7nwkqS6zy2H9o4SKI4FCsFE+VFmkL8HyUEWTdKhsAkI7AV2imhzxO8ysxJuqmIj+OTHKfnDaf
7MkY4CL+nhrCg8txyZTeBpE0yFMqY6M0pv0oJNhwnDvtNaeYDgNS6D0kmiSueCkmd2wVo5de0fKH
qEThXzRFb8HRJOsZSFMZxmtkUYCqACqoHKZEttc1pcvgdoT9c1yRaDxrwIJvW7V58zu7A+5oK1e9
Y0OtZGf7Mytkcw6XBCiVFN+MeUufqNakZC1iXLsdX9UV8IMO8UFZiBsqcv5NxGZoFulJVC9xN5TX
lW968xofzzee/18CCdWs4Z0GscJCXa15YgT6XTd3IIM5d/hJ8AgLheYtTvQlNABvX9OXfqUe9axH
dfesD/39iDxMX1kmhF8p6+DPQwFZi0LSYPQ2yT04GNAfaBSqb4ac1OncI+nbDBp5NbZtMzOY8a5k
5/o6CEzrCr/EwOJSNdYmSB3OppHqvxoD3o6MlXBmaJK/sv3eOnDU4X3iO+mzl1oyPC7nSachuJMJ
/FnzW/6G0euhjsPKrm5bqkuv/oiGBzGHDa8TvPa144zduq0wBWEcg5LvQ36hvsJN0TzryWoD/RC2
OaEVTcgDWzlACDP2VAO5mitDMtDRB+odZ5BHFuT4ti9Gc1uiHcLLI8xlkWTeS+7QMU7QgVCv04h7
RrOJfxbw90yt2N32Nbw/WILZt2ysfXa4EoXficZpD+neCyXzziplf2FGpnqjBK32W/GzDANOh9Wu
Cf0tupbmlojg4CoxYuNeLyKAfXOy5qTmR5SRhYi3ep2y3C7bQisWqMzlPagL0026opnnIs7XQ6sl
wFl9YsP6DMsinux1lTQHvxmxF4NP2mqTH1d01XPgZJYb+QFvLDaCWxZSyU0B+F6xlbO2nZ76NzU9
e/a/efa7EREGuEQUr1oZ4XOwBUbLmV8G8WsuR5G8U4rG28FIixZUS0D+YMk5NCpijTlZsoZzgyDB
V+c52Sn9TKvywliVGfVcbG2Vc5MNVXJAF4kDhnyYdRDW/qKghHUw1foNs3gzk0e2KlWpVVt57H5a
BqcGI1Hx7hgGh6SyHWajQoYphD8FS6ziSqoabXn+je9Waj6mPntj+tO+y64wWVDuIHojbBY5Are5
HPF+HTo09L35YnEE6aPxyqjkPXsosC8WZSKpsZWfqNm6HdnmcDZKMgbkOKtu4ca5LeSD34GpGXeG
LKn7und+lyDvH30evQekyFWASCAvw5lT9ZMXVUFikxn5Wnb6ZqmGJU1mMUEUMioAXxdCzxXSNdU0
kJnSvFGmLtjHlopj0FFFrIH+rouHZUE8s8+ZjiKURVROie2a1R9prrf8ethzPRBNp4WMMtdCPzD5
hj90crQad7cVMixJOMlWSdsHEilH1zc5VDsWhfyvhzvXBNFotsBrg+KJH/nzcD4gfQUnFcOhlT2U
arnm4NEvS8+SL7RbjmPkdJsmARgxFQ058QJUtj8PRRjK30VtjNndz/q9SD94za9eUKSX6kS5ppwl
r017lF+AM3CQ7SgDfn2556r3Grp8hOQabeCT7oGlibHz5crVLF/fG01OJdGnPPv1KOduKl/hVDqX
aXwed+n13tMbPaUH894OaSOPMijaQ5jGUXHh+zt3QTqWZ1vXqAg6UxP143SJe3jOA7QWt0MdtVC7
/Nm08+evL+fSGEfdndCAkcEiQdiIKq5Hs1rrdnqJIzB9+Z97DipdP6QNDlPRQGrw+TqIobK7ShWV
W/DevPYRU26JcaFI33bh94BwnWWZtfKtD9tiUaAyAZupXWrtnD56IHsMyrc8fw7HpqO+h24UjSbl
Tun6Cm5EkQtzDliqvCK3rNwgO7oU5Hh6XxkP7wZQO0NFmXn07JWTi30A7OKmWc/iaA57JKjWhWXs
dC5q9NANBZ0akMoTQIPjK2Ks4qQEWuQ387rIw3letFcWURUXpuKZkbiICRyAhwETzNE0ceowHIcB
vSJLG1hsqd5pg3Uoqujx6+l45mt6V/8rfFesXPq0cH9YIc0ijQlSJTYJtDkZKC9wXCHTA40qve3X
I6mnzUbt01BHzUbOx6aXmgzV4EBd6BkBNfhxoan2TtssQbCMD4NBY5pAVg/Ik05lUa5K74fJdnkJ
tA0UEJ2ntQpanuaARvEt1cd4a4Ad2Aqtl+AKQYDzEvageklETuNTqWZPJ5aJKiKxJX62v+lI+lpn
QFDg1lHtQMYWjhcuVD9GAb63MukpADHF70KI7Od7miSjpDlZwz2tA/HkkBhwg7fm22Ca4Us6Nta2
mRgzVeL9qPrYX1kxXse4NzemmYJOoCukwJedq81D6rEpE2QuZHn6DTrM9ehB+0nzuMTr2lHrCIFV
e1WkqdiJc7SDrWptpUhq5r2e6y59NVyGwlYh18QRSmzJuop1tAxR7HjznvV64fgdvkS/X+gsMA53
S4WK74y1/Gp5XXbhpXVmrrEuKSg4eGex3Tiaa17alrRhB+5LJNVEYDjahm+9d/2oivJZ72md+/WU
O+38QtIEvQEgBNkLeMjPX0SZY0zsIFC4ji30DbWedFn6lbgytUKsPdsXVwFln4MeOv7u65HPPL60
tUGAqmhxTsUXlT+0UtCYGUHfw/C9NTvluaTWfECOFb19PdSZi6S5zGrEOYv/HffQ6cmw1x2azE3b
iopsq9BAoApdL6QoqzZkToX2vKa5NxAPRMHw68HPXCf7Ks2kD4dEgh735ztsxX7DkTfLXCzW4brs
soPf+7SZo6H6420AYcw8TxYKIwLCjr1cnD9rP1eixAWi+jQMWKtVu8cllWjaH09TthsIphBGIcOQ
j+WHRZ0T8glHnJ4mbBHSDlxJi267zjBXHHp//ekNRHjIhamKrtDBOn5t+WFSZDqMEZeWvuZKhPdN
Ek3qyVMien3hHp4+gAzG1oatAQBa9ZgvhPFeCcwm5cok/RBo0hOhY7+iXjv4nXlhDzI9y5+3IAyF
Psfk0jCXGUePHkb+kBxCmsCAZJYadRqH4OyZlbTjbMzaLSWSS7vR8yM6bEWdSQB3bOCUsDHb+TRi
qbTb2CleyLtCZQ2nrcGUNgsa9c8ygNmC6zIbb3w87DoYcbrbH16dBvYWU3hW7EpNsx0SrCt6fAtK
/MIwpxubaRg0MrCn2X0ce/RaW+7DkF/ttpIqHSQL72DR80b8eh6eriKMoshsNmxVNtk3fr4YONKE
2UZK7FYap2lOmXNiXX9bmbmHAUUzzx7n2pBfWCXV0zclo7JwWIYBnvPE4Oulo3A49sWuYwxU4EAF
864r8Lb3Dh3CMaOBVg8OiWJSDi9obo0OdqdattaEh/mbhB7WCiDKYRyM8ptDMiNYRSB979uCMleN
HZIc88FRO9P1oZdf+PRnvxhEtMw4Bc/w8RdDOzRIqKomLpWxbBmR8LmVemosX38xpysstwhdJYAB
R52Y0Z+/mBQIiZn5eeKCIUhmed66cqwcbEtc2rWceWBhZ7G3ZR0CFXQ0AQw0yRkxYCxEfaHRRPeC
TW+SkfX11ZxbgTAqoke0OZSfSJ/HSCagsZFihAtQ+VqL11RvNGIJWO+1jfQ/30VzZkQmyiuDrE/A
159vni1CDJkBj+gQe7+me1eF5j6tvKevr+rcw2PztKNZR8h2IliHlZApY87DQ5SufRcPCuV9z/hF
oTdfVb5h/+ySItognqkvvKrOrXkoYicDL5LBk0MPZRs50CCFub6v3opMesEChz/qkYj1e5brC6Od
m/Ace1QmOyfLE7UgDEPka0Udu2C74jVkaWvfqdEl+ti7AP341cFNtFReR5ipjw/8zmQKA1cYu3bT
yY9hIOcrCcXxjDTQNqEvYHUPkWLnEHVEe1sOWXxjEIO+DjDcLsehIGLSj4qFUsJuBRNAL7gBLnPh
TXrq9Gbxx9ejTU8mToXjjU/l1bLRpSlvm16nRCnKF0U4+RxFS70JLfup6alOECZMATXTwse4Ix0Y
WPJzQDd5NAuxLboUugra3ZlJSBqWVa7j61l55lmjn8YWlBR3VJbHL8TE4jOEPdttOE9kKiliJRcI
ubyE3vnw8vVYZyai8q5vNCbFKrvuzw+aqgz48G3B1t5TfskUHDB+yS/1kGSu5WTREs2wuLDDOPPQ
KQrdAnY0vLFO9M1tlQw90dJcXmR8D0JMnCqKAWqo1ZQKM5QPZUUAIp3g1v3za1UUqphUpNggHq+U
ukRENiZArIRo00qTNBfiP/fIkid3nv842IZ/Ybad+ybZslEGUBVOv8e4Bp6VTtR6mbuS7JPoq7R0
RDNN7DEnpm5KUPmF8c68c7hA9lCA66jXHltEUkzjAWiv3O1bHwm3DudMLvOSGCLD+leGcmQHjAgb
Rvv4JVpYeijSjCOa4uTZnZGUBGVZwtyFjaJcWL7OzVHo/ExPnWXlRAfcIsfJRioDbp02hybI3wyj
PCRgkmahX+7JchN/fDhiAcN0oYJYQUd+/AAqPXV+tR4zd4TPjo2t+1Y1FWxX07ww0JmFmZI6uRJT
Ugg2jun7/LATLcYO9YnHETDxjSe/79f2WB6+nvSGdro/+DTGNEc/jOFIURzpEAldxMTKDM9Zsa2N
2vimArmYeUkHlMqXO/KZSZ4CPO0/5F1FzhvxXevGxmLbKQ1KrCykywQYbSlpirKEd5u4oSaq7ajr
wV51/H6eDa33w8PhvU5rhCGcboc5EjxvExiA60a57+8MBeLALKJ1+I0sY4QemQKPKk/rai23pedw
gOr9W5zc7A5zzHFZHFa3QW8Fa+Lehk1iIA9rtSC9bqWqde3YOYR5XM+5wxPfnrrpDFpx4SKMIimh
g57rERGHUDHuCCHQwnkXRs3q69t7bm7yFrcU5olGn+Jo/TTLmgQHk7mJRPGl7MULpqtbXZNWWpqT
5df9zUz6H+Gk555w9txs9ijfo4w/Gs8IhqzU/CFzRRlMNaebTo03ncgubF5PS346tVIU/uxNKNMd
h2LoPbGnVe9kRDLE+6IIyZbv7J9l/EADjJgL8jIN9dmvsgtHJu38uFRpuaMcro+P8E6RlmnRGdRE
8mH8HvRYI+2K7GdE9nKypF/PGac0Um8p4rZcJBkCJakhyNIs1XZjoDCG/SFtNLmRVorQyf1DlMaE
K9YYP+ieOdGrocBh73pkSFCa/QWOXpPaizUufMW7V/F1zu3RKGexiAB3i7HwlxGfB+ZX8YbeXLmL
7GRcF31XrnB08f+nI+hBADl4ri31kQywS1/FuW8cuyGYJ9pwfCHTLfvw/IZybaRZ3GauLF4GukuT
rXsdK6K9sKCfW4s+jHO8MWqLNk3AGGaubSTyHKZlM0+DYPn143LuhWiCmKavQL/NPObsyKUKs12v
Mpemkz0f4LZyGH/KYzJZg3q4YDo7Oxj1Ss4spIeebHvNisUoI2sb7Y+ZchId161erFCfoeMU4YXb
d24hgLdFBWOy7J1sfpNh0MwIBYdbRdVerS3Im97wlCfVmwgxbwXmhTupnJsXFqckDrB4qazjPg2k
iIT7yz4twtSLw0RVtvZYdRsS/PRFrkmBqxelmPeFo30LsWO7g4+g2if57dr27XgFIX54sLAjIA33
fIJDv/6mz348FkTKSNRv8fF8nrZd7xFKEbDN6criTXP8x0Bt7xMyUP+VccCgIbLHvXayOahbaQgK
tEDQXJKCao54yQYJsnBTXXiRntu2UpzCvcb5AeLq0XOoETlpeOi+XIFePaiR13XZvsqNbWQrt0le
HtLEuVCoODeBPwx5vGGNRj1BHySnLvmpa7/J3wCLI6wlzzNvL5w5tHPzlxMpTTK2j5yFj8oIorP1
YuytlGVGHZ5FQEJlSPB2CyN2TvnWn0tACuYpK/IyLCeds6RMqrAKwZEDxlSnqPLklTaprCpqaRw1
eBwCUd37o5MTe5ok89Sr7VVvdfajbbBqzuBBINaQ6p5IgKm0mau/5U5FSg+yuS/k5yhvbvAkQipn
ywcdCmbSoIXLJh3U+wLBJy97su6+nrXn7oIzOXUpcTBvjxuwpPfUdYY22h0LCCxiVGZC1p+MwthR
M30SITiPrwc89xVPrhAcgxbF1uPbXkSKP8CoS0ngdiQ0OQ3sz3dInkaQizerJz3s1yOeuUTe65Pb
GM4ZO/dpnn94nzgmzAahaolLzjtolGowr7OAHdpAECH8GvIOkD+9fj3mu17jqDSA5EflpvKIcrQ9
ml2gjxI6s0nqmunozIOuMe/1ACBvpg3GLsiT5LFQU3sR6SjF3uXRdiCSx7QZxVIgYVpLXYdS98KH
OlPERJVA1WdatQHxqJ/vhN8bY+G1PNH16CGjA6S2QgynrWqPtC/HMrUZMwXVlpEsHb8K5gM9GVTf
urL4+oNoZ9bKyReOHAOiH422ow8iI40wUxGm+JYBuczeNdWhlox7dJ2ZsePrsjYg+Iwd9g4ScBOK
yIoE/G8WVkF712mdvBoGT/4e6Gy8VTHK39kWZ+ugY0rh1oDr2zvGGjnw24AQlCW7XepmFCzRKeqL
SsqEC8HaWvZBYy1sf0ewhXYfE8p4y2OLAWbgQXgK7AYkiGz9kJshvnAwP3f9dMDwoIMl4b5OD8mH
KUm5LYKGpnH9SdzfB/hz3R7C21OoSMHq63t9bihEn2gNcKPz2ph2QR+GoulUlun0WnJyLVgUpT05
ifoi3jpB4j99Pdb793Y866fqr8bpldfg8fE/k0yIKGnI4QBeK0BvGsYYTUZdWXsFCNbMSpSdQvj2
nejV7kZVJX8PQd6Z61pSrMkqqzbvH+iP8A3X4c8qr/Pf4t+nf/YzL4Yq9APxn//+6W+HHM1r+uWP
rN/ym5f0rT7+oU+/tv7P9/9MGsSUx/jpL8tMhGLYN2/V8O2txjrw/hH+/sn/2//4b2/vv+UCvgEP
MYSE/0YJnGRDTsBV9yUtaoK/3j5iHP7+l/9QV+W/TMor1G2pWzGz/kE4qH8ZHJZYTZnD9JRk5u8/
DAfjLxqR1H4cS1PYqGmsQf8QV9W/sLHx4/Sb35s3f5QOebJ7nxgOVEemajmvk+OCuQ4Z0C9tCMtx
ZgRzbeRsr5r+hVfHycMzDYJujC4u13lyKhR5KxWOw7uiiVXMnFZNhLeFORnrmFh+uP93//WQ/Bty
xDv2m6L+j/91chBkKI6g8DB0tgon7dU89cDR+1ii+jbEdEK29Y5WujdT8gIQlB8KF2WZRM4LsCTH
HvILw5/cTvo10FZZj6bynXLctFaT0TY6Uy1d6MgHTM9PNg7Er69wWtQ+Lw4MYdAacvCen/Yeqkoa
GtlTStdQukNvaI+Yv6iN0y1AqVq+fT0YLcfT4Wjn2obOJvl9t/x54dMwPpgEE9SuDhNw68epUmAt
k9JtbHjpNmn1B93rSsD3filkZNXA0WYlBggir2P89Ys6xydkqb6CW5m4yk3TWQ7QMlgYYDOTBDZn
XTtRNlNLpWCnBqm/ihzCt6JUe1Wjbu23tfid6TZWu0rIKs5FB5rR4DQp1vVMuwnKxlloQawtGnno
H4eI5LHQ9DufmvCkf9UpmULOY5EGDJYTUFRpeyLljVtDwG03DWLFWr0CQOgL/6YhBQ0Eo+Mtcruh
KCAb5aptxnET2/51E0kt5Zn0t24l3/JQ/2mO9l5U4D47JH3bQu6f/RY6lkP0Ab41fidBVSPErbFc
x6WBPyFTkONG3VsVOOXGIqmG0qC0CJ28WuoqCSpd3pk3fa/hEJdMb6v62qNFROM2CkIxL2urmPwQ
b5opOYc+q8PFoETRzeiU/kGYOimWdjyXndZfWDmgLUITW0ReibeM5D64zmoiCQJvJnuw5XaGL5vx
sqskMVChGbCwCjtq+lWYW86htCA8Baji5qodWlfFu8g6KxRPIYelqswHHTjfUxC31S2kf36P3ffq
gXZYu0uqsHHRCVAcrCq8tSoRrTt80xVAMNkgYYN4xrRzmCJpGd2VOQaqqMM20Q6NumrDRH4kwhto
b1v2cykI1eZHE8ql4uMbUK4khEsHQI/jMgsx6nlmqi+wYNcYQEPF2YwS9C0yT6p9MWbVHRS1K5iV
2g80D+KgNxqtGylQrpVeM9EMMhdIFQxXjcgIZk+1H0FcGfg9wsZfRZbWu3odOji9/GhNNk41mQnz
uyYZFmrdDNeAkgoorMS8rfBZlD9y08DKFJoFdNneIJfD0ZsdeV9EJYyBeRda9QoqASw6T1BMdRT/
mTSVYMM/e6LkvtVTD3ha0e2JEqPXBTBTaiMJgBhhOaImNi8M2vp/M3dmy21iWxh+FVfuUQmQkLhI
V7UkD4oHdbqd+Jy+oYhEmEECNKCn72+DcBvJcezAqWPKN7bkxWaxhzX861+jzdrefpYMKiMU1cVN
6i6DqzwE6NRfpqvrHIMABk27H8/CnKQ/MxoikBEVAt3PqrHKzVSKu+OARXND6ZkEbYOmXKo73aGJ
ikSkyiNadOEbq8Fk1V1xN9sXdVq6RPlFTNebCwNiz087aWj8d+hnRMiGNs6cYWyvd57nQYOw3o41
apAu0w01RKEfUrHU60Lsaqx3Y9qA6RjFwfbTXnFEIYo6vDA8TYfmPvbGoU9bEG3gmKqhPujyPqfl
VNb9k1RW90rZqH9TV3UDTNGGWqDbg6QTTauA+OD2g5nU8BO6YEjZxKAFwwRCb9G6yruV0tUSJIMR
TKLVfuHSwm84gnkkHw0NezM1JHuNKdz9vMvXF9kOcD4YOm8UU7Z/uYe2foyzvPqSyNIgZHvaShh8
CdVTSqya6QYoX+wstXOYNVdLW73v95f6OJJ92LWjwSb9Yy0tVRPvYTh1w616STujAIJgh+5qcCzS
pwN/+c4I/EyhNoTOsbE8DG7YkPZTWJ+3dCLsQwlHdB1GXWm0HRrxOFgayiTtOjf0Hrl0OAAgEe5u
spEtupAEoRzdpeFwGmyUL34IrYdiyNHYHiafetTiTfZ7yZgYvjS8pbKWUKQOL8MqPR+slZ5JVfzy
m7dWN7NlLw31UR+SwAlbgjZzc293A+dTMNVCiFTUIWUrRMa3/4l3wBBFG1R2Et3LKY3XWEBUFey8
77onBQ8yRdv3xmDf+6zuKY9XA10ey1D8piPwQCoskk52rkXMLxlTfRGGuTTzQSGg5mjsJwPva98h
jJvrbgwVLeUjVMrSC9MDMyEYAoPL9X7QuwngKKaIYLnfzELoCa5ANwgeisGcBC6FmBtY5CYro+9N
h95wQMoHapWo74bn9KXKof7I3SsitqJHse4A2Ivj65gM9FU/6/dnmktan8pnm06T56FNm9ogd1D/
xtl9kdm5Jgp0WBcoKbhX6aIIh4G8DEZS5it/9VbauUaO+AGIXu/v3UZz7jSaQT6kkTqJfZfyMQ9q
l7u1vMwu/JCUQpYPvKueHyR0o2CScXh+j/xUoTleQvsq20innI/b6YZKUiqxdiTjrzOZMAZQ9SBd
l3bFm4z8V5jvr/MD/gdG/uFBhA1+YuXjLpSZEPFpYRre06bvyE941ZdeFvRKtwF4ANm0Rwayx0EV
TstLMgKTMa8XVtFXAaSRwGUdLhyAII4wUIuPpQE94onB6LSdBwHPRTiGGz5R0o/U8PITnrpUp3Je
eoLSr5ouPn5Q1NNuFYWst2hB6eA4KD2R8S8u1FrTQr8DEgNiRRA/xYWx/O60IKAkTeeCSCvrOBSl
Fojz1LTQ69DUgVIrWPKKC6/knWlhQIy9qRZk3jVFUJQtlBczvqYFuUNyk40ejtniKpfgu1oRp+GE
N68ItUO2SAMqDxJVXMcrAi0MBkRMQU0XF3Plnc0FcEFNV4Q67FAKJ9B3R3NA60ATKQrlDvvBu5sD
RHrYyRttB6reIVbDO+bxy+tICf0OOUtQqmB5iotwzPuaAsxdpZyXR6f2W46GXgeyS0q/BHCltg8Q
HxPQA4CE7/TxCVGVp3WDpxfLHDSH6JRUXMfmgdKhmEwR0aj39vJF5Ui5LBs8vtKRQZkMegDkn318
zgqBoS/CWf+XuT+P11EmItS2G0e1yLBIHbxm/R9J+Nc0ZP3zaBQKUm9UXEcLQGd/kAESPG6CbzAH
XnFaPprRY8cNFoWV7Vrpk3j8T79QWaCnAg6WZWE+oqfaF0WsvhRd2pji99/MBWmQiZtmiTsvMxNP
Pqys4eI+h38/PODprWv3qp6q+uOVayVmMofGvnAqDsMUaYyPH34PzG9maD59x5hpvJN/R/LxQ22c
T97/TwSn/pFcUVrYWG7i7uOoLljvsU80F+ybUWqmlSTxGmXQTNXvz2ZbHpfCS6oYm4H7PQYsWBs1
UXDO/6ajpndsnJiLuJIkRl3mEptLjiJrnrnzdVYTXmz/TYVPrMCEkZF4filJDLs0LhpLPiyns/j7
GcpZh9/qahecz9Vdf/2VXqB1d1F7n6C7RS696fiJPSR2fcgyTiK7YFPJV2jcdSs5xfQmk4/P2VTw
dGE6tQko94hUtSCXPHsEc3QlqRgyqT7Mj8ZDjhauebSLCJKKFiTH2/q0IKCGw9B0wNene5MmiwK1
xoIRsJ77eSWpUDJV+i0skpt47aYnagZ/08Lc+GHrgR9nxl+1V9+aSR6Y0eKpOpTS52uq6VtYwsy5
s06tLKvN6YNN2Vi+O6duxKzbaxR+tLDCb13OgjTOajNb1AC3sGBu3TQVP+Cpa0qnF2ZL0kE9Hotu
ZeBxBKzySCUgG6qn+PXT5c76lsBsWxetAD1oQ/TGrJ9bgD0ENKvp7PspmKThwhTyP1lJauXVWMVO
RZhWBCjbGPyttXPntWMM4W2c6C/1NW6qFLqdOWdjM4k5KevThbIMuQXFFDeYmP7x2gdB2IJJMqMu
qxpk8Tp7zMbqD7++fmZ+gEVS92ooftNbOHdmiWUfu8QENJuP+Q8rgsQ62JhHbgIQSZGOaTrD/3Ti
hXU2TU/OtjK23VT8X6Kf9rMTEQCYYANr5wanE1GIb8EevEf7VppaNYeE+jQRgGo69HtrV/cqKWdp
w2H9kplONTqxeGgbrbRw1n+16AEZ1Xy+Q8SzqSK+ung2R9Mbeg+RW2kq+sFMHTeys/rSVPs0im9B
uJVmZ88OnvRdC5PvwU3nMYinmuWmakWdUGPF5HQGjOxKCcU8AcL40zPzuUjTY4L2NP5UJV6f+7d6
cE18Yx5YZvLbPwAAAP//</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title pos="t" align="ctr" overlay="0">
      <cx:tx>
        <cx:txData>
          <cx:v>Ingreso por Region</cx:v>
        </cx:txData>
      </cx:tx>
      <cx:txPr>
        <a:bodyPr spcFirstLastPara="1" vertOverflow="ellipsis" horzOverflow="overflow" wrap="square" lIns="0" tIns="0" rIns="0" bIns="0" anchor="ctr" anchorCtr="1"/>
        <a:lstStyle/>
        <a:p>
          <a:pPr algn="ctr" rtl="0">
            <a:defRPr/>
          </a:pPr>
          <a:r>
            <a:rPr lang="en-US" sz="1400" b="0" i="0" u="none" strike="noStrike" baseline="0">
              <a:solidFill>
                <a:schemeClr val="bg1"/>
              </a:solidFill>
              <a:latin typeface="Aptos Narrow" panose="02110004020202020204"/>
            </a:rPr>
            <a:t>Ingreso por Region</a:t>
          </a:r>
        </a:p>
      </cx:txPr>
    </cx:title>
    <cx:plotArea>
      <cx:plotAreaRegion>
        <cx:plotSurface>
          <cx:spPr>
            <a:noFill/>
            <a:ln>
              <a:noFill/>
            </a:ln>
          </cx:spPr>
        </cx:plotSurface>
        <cx:series layoutId="regionMap" uniqueId="{4D25EB6B-803A-5746-BAA1-C8B093616088}">
          <cx:dataId val="0"/>
          <cx:layoutPr>
            <cx:geography cultureLanguage="en-US" cultureRegion="US" attribution="Powered by Bing">
              <cx:geoCache provider="{E9337A44-BEBE-4D9F-B70C-5C5E7DAFC167}">
                <cx:binary>1HtZc91G0uVfUeh5INe+dLQ7YoC7chM3UaJfEBRJASgshaUAVOHXT15Ssk1abeubcMSMKYeoe7HU
kpknT54s//ve/+u+erzr3/i6aoZ/3fuf3+bOtf/66afhPn+s74Z3dXHf28F+ce/ubf2T/fKluH/8
6aG/m4sm+4kgzH66z+969+jf/uff8Lbs0Z7Y+ztX2OZifOzD5eMwVm74k2vfvfTm3o6NOzyewZt+
fvuhKdzjw5srd+ceh7dvHhtXuHAd2sef37648+2bn16/7w9jv6lgem58gGepfscR5ZJRiZ5+6Ns3
lW2yr5cjrd8hrKigmumnH/Zt7LO7Gp7/4Wk9Teru4aF/HIY3X3//4fEXK/nD1WKwyfOmJPYw9w9X
T4v96eWm/+ffr76A5b/65nd2eb1Xf3UJpl4XzaoYXF/cO/zz2/PHphlCNd01xd23rXk2y4s7/4dm
Yeid0kJo9WwUhPBLs0j5TlGltJTo2Szq29jPZvnRWX3fKi+ffrEOWPD/fvsXvvn/pZ3OHuc3R4/9
8Bi+7dTfYiVMNdKc4mc7kVdWYu+EVBww4tlI+lXw/Nicvm+j3z/7ykJnR/9IC13mENVv9kN11zz8
jTbC7wRRRHP11QYQKb8HOInfcawUEow/3wAA+Ayuz5H0o7P6vpVePv3KTpf7f6SdEts0j/euuB/d
t636G0IJzCA55pTy51B6DXjknaSKKEz4t0Gf7fODs/m+eV48/Mo6yfU/0jqnd8Nwd5+Pw6Nzr3jC
iwX+TxMSeYcloZJJ+n37QJghYBJUyZf2+eH5fN9Crx5/sYSf357+c3PRre3Lbzv1N4QPeaepJoxS
8myeVzROckBBhLjAX2mc+Db2cxQdsslfzej7BvrtyVe2Obv9R8bPYT27u7od8qJ//LZJf4OB6Duh
YPv1N3x7baAD/klBgE38SiV+n4Z+eFr/3Uq/W9VrU+3+kaY6vevD30sWqHqnOZGU61ckQbyTCBMI
sa/h84ok/MhMvm+Y3558ZZPT1T/SJjePfW2bv5MYsHdIcgJ/XkcMeScEEVoo+kzcXhGDH5jJ903y
64OvLHLzzyQEq8fqbr77O7EMNAOEFIAVxMnzz6to4e+YUIJR/JVzv7LMj8zo+6b57clXtlmt/99E
y38XFn4VXVZ37m79pNb8Tlv486tPiwcd6dWjX+uS7yaj51yxfwBFhysG5PlXFejwkhcVzcc7yG1N
5mzzLb397rHHu8H9/DbCWLzTmHIhoG6inDNgdfPj8yXCgIoL+pWLN7Z3+c9v2cEnCGMaxCTBGFTE
b98Mdny6xN9xxqFQpphIxjDM7tsCz20VMtv8uhtfP79pxvrcFo0bfn4LvtM+33WYJVMcAh5rzJDA
SBDMoJxr7+8uYUFwM/5fi126MRpGcVFPVb0kTeHHi74anIj93A2//G5jvjPY4WWvBtMaa5DGNBNQ
ekB9//vBMu5ZJXPHLvIotLcNs+Q6uEnflIXrRQyMq73NkGR3ejI95NhfbfKjQx+4tlJCCtjUl0MX
UYm9s5hdLNrD0LqP9HoKs/RrOQp8TZXHJB5QT2gypEtUxH8+/OH1L1cuCSMYKQ0xTPHr4Qktskab
il5UdVQWiYom1yXIjUt7VNjDcL5W6uTPxyTgI38cFFyFYYkFlvTVdjdtk45Zq8kFJw25bqiie1KL
pdtIovVN67g6YQWFwUc89sM2d6N7EO1QbKsIwCrphC22rcyM3w1Rn6XrZVnYnVBk6JKUTwgfT20a
8KpYbFTFQ4vrfOWrhtLkz9cBsfGHZQgqOReEY0QZemk6NSs6epmTCzxG4Ctjxfa+Gku/UYPH11UR
7LEv+fDw56MCRfnjqBrCQ4KYQeD3y1FFhKTxvMcXBk/4uomWYtvJJv+CjO8uAl78JWctPuNS50sc
8rHY/vn4fwxMCYAP9Z9AGvzmdaxMWjdlV3p8ISLhL4tDwAQ9+vNs6vDZnw+Fv+MoFGuILIVgQK5e
gUAapGsQGvEFK7S/jNq8KTdTgdMqTikdHnzJ2N2ExCE6UV0nrZwhWCIj/bkp8+gvzP29hVPEAC2x
5PQPXktYZHWHUnQxug6ChMm0sifE1WiKi6bU/xdBIgH2IC7hDzAj9tLOuDWoiOhELvrBqVUT8mpJ
WObt8SiRPa57w/Z0Guxx1xXg5bpa8Fk9aZ8lweBojrFZ7HEkJn+Zddxn6xIRdeLKSa+xE/48z6du
hrcaiDKuGj8f6RyN1eYvDPgdeJEE7AfdE041eOzLRZgqS0cVNL5IU4O6zSL7fvfkN97V7W3f11FS
qRlwL8AG1mrW66xYqiIZgu52bajLLC5K1lXbZV6qfoVTNDyoHvnLP5/n96ZJGVMMMZgsKFMvpxl5
Mk4iZfiCLxI25Gmbcdu3txil+Lqr+r/y7IOa9SKKQUQBr4acizBHCmTllyPWLiMGlWG4mFtqj7mr
+V2q/eEvarJ4RNSf91QMIk6LNO3XaDJ5E89z0FfFWBZtTJvgHqidwNMRIACKIAgKygA4Dz7xtEUD
ZA0R4yLXJ8Mk7XHAVJ1EUcH2RMKCljDa4z/fRljB62XBSsDOFDyXMCnUK6ddVKllV4TswkISSnQb
ln5lZGTed7QKbtdM+TQnRk7GrQiPKpEUU53mG51nhYkreDdKgm91QgyZ1qh2cjMtWeR2uRhGnDQ4
CzSOUp4uK0QXncUon6MPbVRnboWktX08ZyHnCdMyH1aIIIgMM8zjGlKAaOPSVDZmqoWGXuPyYzXU
5oTUyp5NJpXdStkejXFLqugTDrJ8j22o7lE54FUFPCCPSViWFuY35Q+B2yCOXMihheQgfx9B86Cm
cUdNe96h3NaJz7VIY2YHtOIyV108SRm1N2NTmXlFUymvtO5yFHcmK0Xck6mb4ppn/RJroUOfCEfU
5y6qepU09eDK3eIXR+JuHFm/J10oon2qMDsh2Zi3cTulR0hofRXmCY+JZFPWX0QzxSw23DU86QZS
5kmdZ217LrO66hOvWZ6ulJn1TZaPkHZL8BEZRgg5YYNed3U+Z2ugBnotsVtgdpbzu0EzoAmNArQB
CghAPLWQBYYiwGNBDlW+SmkTJWpIKxZ7bCp5okpZjpCZcY5VmyzNiGR7RDNkwqmgtjuJvFZ4kwVb
52XcFl7tWVbkZ1Op3b1qSmHjjORoiwrTrzSts7OesH7T6yK2nW1vZ4SWT3hQxRGZlF8p4AGfg7M2
4UU3bKUm6YYs1P5S64F/sjTicSfa/AEcxT9mY2pcvORZs0IjmCfJU9ds+6zlqxrLKQHHqhHN4rTx
XsUhikKsrHtgHRKJ50XWXkdcFeXx1KihZEdNU+n6Wk6pRRocoApWrmpZq6iMXWBSiTKG7kRK4Dcm
M+FtUrIiwnlchCiIeqVKrNtPUT4JCtMtTdOvQhdqtYnQgfws3F/asoSdbqLJHqNMARkCBGd3nZol
XQ/V3Ia4ztLqg48GsFhIHSSFEOiYTFIDrmgLWFEE8Mo4VxiSKWs6eIfGsr3V/QCWFXgBoxbGRglC
vVrNegb3AlIOpi8ngOyCZRejVItLliDYXcrnOc4KBHzVVQrQqJ75nU8XfTMTMjwMS872YhQAPAxw
SLJar+s+74a4gwhVSV1TeH3oOEwOKg57DLQuvRnFpFZlqO1x2ZTkukP8cJOt9IlzE+AzwFmaxhXT
dbbC2ME32eJhTVMBxAfkUfhikaUtN4rD5vQEMnXsKgp39Dk2Z2PTAcRoDrPKulqfaGn9JeECknoR
AaI+YSRwOHWSckii0nT9LrVqeOj0YSt1z/D1MIzwz6fZ1uOYmZh2zJ9boJ0kHnkRzrsnLlJWgvXv
m7rsd1k24bNxAYtMDJhhIDO+nvCi14SYcDkWUG7QypBrkxJIz8638yoc2GMgsPe4DrAoCEkYqcyn
4aGw4Azm8K+pD+0QZwbYJyonfqcqyKL6QI/aCrJtp7Pu1pQ1sF9fDOHyiSgsZdeEI28qcUc88Hsz
VGDaDibjiTIPjFYS9kJSurddhM5QDiEtbIrOhr4q7Qm4EdiOHGbb2A4Sz2D73ZDCjJBBQMKt7fSa
47K9TccKsnkoSdSvU6KBpQ9LncaTFcHuu6GHmU/wzBRbOwd/0kV9UydPBGc8UJVyMe7hufihB+oT
jDb1quKBVQmLys7EshUjO515UCd5zdldLmlfbSHtwARb4s0Sq6iZzbqtcfq5inIYvHkKIZxy4zeT
7w80CDKPW/XzhWLz8FDpAWzUpgrIHXzUGYYE3DAO2GYPpUqZ18UWBwzEAAm6F2Dps2agcg/Lscd0
isRlEcYQ4iivYLbTWPS7eYaM6w7uyZsKn6HMQGYq2QhvNhPQVaZMGE/bOYvyXZ2nUANi0YDXjvmi
6FrBzwlJOTiwYyXsmQNF5sZPhbw2peqqtetQsaVEg49UecXv8nqGPfVtDet/AoGyov4yFA3sSlUW
+kQETvedhghrxWH4enYqMYeorxxubw229lhnYFWg+92uSylYtSCDWlWQyGEfZqCguinSmygP/tyH
TNz1ykG8oqqu16RYIrHKOER83w8wkydPZN7g4XguAAI4Bo6+xn0F4MOyLhvOtU/JvFf2YCDTMYAm
YtNuV/dY3xRu8Tp2UI4O60U4IEVEjcCByJzVVwEZfkeNwdckUlADaANlCPMKX8+0h02mJOApBpzX
VRwK3d6KrIVA7/Dsz59WCJkIOPIgAIF62xfbp4J3maP2dsEUQjSDErUA6EbxDCXt9djBl1ZqMIs7
sLRFzWCnJ8b4lDbDgsCj2iqie6pyWPvCW33SEBXFZiT1qh9HqGQOu9a3k9crM+NqWfWH6eQCVlEW
KbtrRwfx2uSZPqnKBsJqCTRdSbrQzThUWMV8yACOihKCizAF6JgPPadxDi4/goOn/jIvUkHX8yS7
XSh4Va+5Hit+6fu56ZNmZuWSRD3id8wfkAXu1jeNR1C2ViPbl52N7FprNVdH9STg6WrMSXeFEZnB
RdISNno5JJfCPGGfJyba2gwDyAMVyQ4lOXNQr+Q1+MTTBjxj0aFwnwwBXDgAa59JyDhPvptmHtKa
d22/87IIn3tIQxdP/snImG4NCAHbqelYeSpHBS6i0NjvGC+nozwLvfrqEPVcqy+tnMopqfup30Wm
0esqtPwuE6ClPHmF8CUERUlSfCZYA4HcNfjM8IPaUA5RYRPRNLiJHW8AicJSRonsCIgQPTfFEheH
BUVzDd5X9LxKejbDtQBEqF9B7YnPMIMlgMvha54LO69wlUFkybSDDAN9V7qxLTjNaCygPS3wey7J
cgGVOjg1ijAZEzcDaD8hICtdWa9sKmGzXRod0rczsEtUzhA2hwTUxCGjYU7ayQEo2Kyf0k0XKQ1w
NR5ma0YHYUa7AONmbfCXdWC9iFso1W60D0D8eAbrHsOkwLsJc9HKsN7juAcutFxNWBV+58apyd/j
wSC7bwBGz3o0wSy4cjACnGkDb0c4Xfprx0cgIVlU6hs0t8W2af1hvVLP52wk8mpUvn4PWvN9HqVR
Umoz7HjVoVj2gOxzmZkvGR1sLEmXxlRASZ1MlkIAe0iPpmghI4ViXhIHkqcGhhLETWkC7HPRgkEt
nxe/jUZDN6hRYYqzzro4n3y9L9rWnFI2YJxA1qz3UNn7XYPbJiRV2zanqaX2i/YV8AVBPIAhkMw0
7gfi1Nr7waGj7gD+RybNQIjUeQ6camQWKpiqqfaRJaDCaAmm66p0jq4yQ8A8fd3C353GsEmUL/4c
FMA5VnTud7Q/gH83AcepD5Suy5W/LDMHDM93UTJ2M8TMoVAuK0DZmWoIVZ13TRqjHqaXLhLEJmKB
H7B0hpn6p2SS5oDbCy9s+WiBY0J20a1em0MOx5FJb1KVggc9FYYZypr2qKpMC5DnANOs8DI9Bj2t
38nc6pNCZ2w/txqfZZ7rGxy54YEsQa0ELdkeajCwayMI5M/eQHIb6wzQahEFuZ5g5OQJN7UpARw1
JMx16BqIierAN9tUq5O6V0W9SluQr2bP2tuy8nNsHeBe30EIuQqcp0ij8iiyfCOyAzIvi4UMBLVd
viM8Lx7ZJNBwzNsRIs5FiMS87PRJ9MwwOtBIIsjMddkotpdyQXIPBZt3uwHqm1iNY7+1bhg3FSNE
Qa3i+B0qF3ytFAbJjmtAJdB5YEukiSBtpCmBSqIWkFjEFMR1Dor1aukk3bfcQzws2QEOnigzR/UX
kREfg0pWo01W1lKtRXBkAyPn13k/+g8+F8tJzkLxoR2zcjVAhAA6Q7WzbCAhjjKWokYkCayNzvtI
WJ8AnW7UmvbU70jGo/uxpfzB6HF5rIBVfrGVH4Buz1UWA68ix7gd0AkGUratQFz5xGC6/WpM0yqP
u64x3bqzvjvi1BdnhWzVKjOi+Fi3LrsSwPF9MtZVWJUDR9ugeDjTtE0/5JEs720X4E28QcUATLnR
2fnSRFCxViibcSId6k3c60nAiQGQyL/2VM6f5ejn3sC9bUNfZPnXc7S/fvzPta3hv6dnfvvycAz3
t0+n387v/uld20d7OAoxvL7pMJtf3wWT+Tq7Q1flxYc/tHi+9TheNXGejwP/l4s/2OGB8hx0o1+7
CX/o8Fw/+rvhRXPn+YmvzR1N4cyvJhQ6G0JKCQLXb80dJN5Ba4dI0J6IVnDg6u2brx0eKt4xLeAS
gf4OYkSD7P21w0M4nEaFJhHoZNAXVBqJ/0mHB7Mnof+37gPH0GphBE63koMPUhjrpQqGXBRNnbVo
P0OO/ThFTMZDFe6VJ9XZgqNunUd4gBaELS/lrE6HoZ0+icl0V62NrjrUD0djEODVSi6nzI7RPqRU
pNvJmvwcqrzobpTSgqBiUbdjKpV5zDkBttlIHugFY0VJ6jgCRi73C+4VOdNsQfbDUHVkNHFULpZu
29K17alqe9DdEzRBmvGArZOrGQBDadhmWaA3BBwXEnf3oVKN4z6WTV3ho1x7AZINSbVbyxyxYZMD
5LRHDgSOisSmKeFccOxJALmlAK6Oj6QN5IaFbOjKeLHY8sSx1KutIjLw/Qj5C6VxGQpprlOQI8Yp
xrKculVuub0zTaoeDnApVwsZ/NCt+9yiSQDCyQJd+aU37crBFIZt6S05BtF9GZJR6Pw4NXiZktlJ
PmygIDPTerEGAF9Zs6szUFk8HFuvY2iiuJ2JvFrP0Bm4DRNnkNOyfFcMxVVWVcBC/GhOO9LYnSHz
jbEF3Ro3mxjXOtuVcwY9ia7O8o+FL0BdClOxl8qfWtYf5/M4fhyyuknGajintc9B55h0G0+ZuHc+
neN+nG8Xw4eEdDopPd0DaYQqyAEN0tgcKcU+Ax/p1zQtx6tFjUPcLFG9HWFLI9rYmMt23g4ylxtF
mi20mi6npbgRFQEELdzxMtg51mV2tuSdTOrR3dp6APprm10JpdtKFnTllxq6caEVx22L8AZK5vM8
qy3wyfKmBd1hNfZAnMt6egQCI06hqZWez9oK6OD5KNbjmMYDMPkSZLYtmxiO/TK9J4aK1TQB8kKp
CYXtPOUnUDj3p8rNZC05Q3tpi2LT+IXHY5TlyTJ06nMxkmlbT7z4rPLOH/k+hHXb8egSqB6LG5M9
pjS173nkrrgr/FVTh2qL2rqIm6ItdqCsiXgskIipDTyKGz5unOKgDguWb/qe6E0GFXXC80hvJzED
rSjrvcudXaWAHXGZjUWTpL74bCmzycSbep1lPbBUVA8ra2kdD40LCYdaMOZoqtY4GopYEX+NIYXE
oCTcRFW6X5Zmjuuh7WLuoo88pCimpTdHecd1ErWs+EJH3v8yLjIx2MWmhNoFFKBOMCCuqDypp3I8
FsJBxI+96laULdEX60RD4wkSOo8ttCWyVW+mJSSh9tGOlGi8hKpwllcVlNPnApG6ibu0L85aRcSG
2kKtU5nKIcHVaK4HUbvEIbxkW8jy5KgZsx5qA+pgNHCsconT2d2PUBoDbZimczOXOJkmcItMTxWO
lffhoWsBVNeZZOFodEWzA20hzHrrwLV8Auof8kkHsy1jO8zuC+66GVStOW03wo9j/iUYUF5jaJB0
S8xQ185nRPHhduDgLSTOWb5s8FSj47zR9XYuQGjNu4hsEbGwsnLey2DEFsgdoISfSWJRFq05ncaY
tgtIb21H16leqm2XpQVUU8snDycMb2TR+rPKRHcQUh/JUqC4Af1nXXfuyEUdOzOIlCsgLea4iYqH
dFD9qiBtcQPdKVDaRcuLU9KHCcf1uNDVgmt83tXph64ipQKKRPVJyyp7hLXbQMNtOgGtpL1kVEdX
JRvkHal5scpK3SVLrYFbjFkOYTx7QtapbfwmVAGdijTYtUvdsMqcc2fVkNs1vKfZ2AiFbX+I2pKl
cI5gmegmhV7YOuqqfCur6bzKWbEuwrCbMcpJnLrlkEsWUHpT0VzMNNw2o+U7NtX6vifDhfQsn+Oh
pNOOKvdJBFPHBciNa0KnPYO6fFWOmFKQZ1r3JbWMrU3kouMw8nyjphGvGgQSW2t9AYWbyjbQcQI8
UOGsmFX5fonQdAoShYmbMMpV0XgS+8FAaEFxsXaMZNtcMx+jGUirNgZaFbjfhijrAYPdqR4BtRYK
upOGA24Jcr7Zu5LxWMw9jzM8X45qIXGpbLm2rC5jWJvedR6qptDpPVR1aWKxh3pM6Po+tBYaMBF1
yYijaNUOZbcyta3SWEOf/VoXRq+oKsOqY5VeDa7b6wj6MX3UfvGd/FAX0q4XPY8bNLRFAn0rkBsY
s+u88flmHGt/BPLdw1Qup5VLx2PsqypeZt4lFZHNeziAgk6IB8M2KJjNXDi0X6APv4ugrR13bVPG
U9PAcYWsrOJIwZpH6O3EpC4B7zrxy7KgEDdK4nVeul8IiOZQK4BkjENzaB3PIW6hS3oCPjBsh4Ll
yVyWX0ZR6Y1vl1+yFt5aLhqwzASeQoGIUxJPBqC/1NnnusVzgirXn6cgIyT5hIezmakJkjtpY4Gy
W4v5l1Z3j8wV1abiQBgmzz7W/QgdmHLobioFr1p61sft6N2XfmQkMYMpVwxANJbDnJ9bXpkLDVXe
HimynEylg22Q5S9jnaIVgKkF1C6mjwpU8YQ5elUUokmmDNQf4xXguiiqz6RxJKkJKK0jq8UGhMaQ
NDpqNoNZ6hMCLYi1CwtLJho+D3ka4okIGc9QucRzXpZrpDt1MyCynJdQmMOGLqCZx7kcfQMb1sL0
J1eaWwj70p26uVHXneTwLEXhqh/TvYC6LokqDQ0DaE2cc5eaW2nEFZxGmhNbZWeM2GFHR5WBNp2b
ds0HKLVAi8rZB83LGVosoo8DlOFsSQWBHpbMwNLTHKD6qkNciEnjJLPkgTe+4asAdo5Ji+170NXd
Di1e7qTn6pe5HNDtiPy9aVP3fkE0MusJWpE70zr6ntdiWuPF+AaQtXVTzHNoXZJJ53HKOXgEqi87
pfnlHNCAEkDNCCgGaUnC2VB9GXqqoNU1mAxsCieMLPTBerFtW8whZBrh7K4f9DImI4E0D4LNVQvy
8KFaOoH/XcV8GoRGn5usO6rmHPqaxuZZ0mX0oRIDv2qgqL7HUOCD3saELuOoGP2+nW3fQWM8N+PK
8+DvUaWqVWvH4WqZ+26fAnieTnlUbXUjzhfRHKdWOrmaIB34HY4WA+4sJvmQZrJOcjLI99rx4iNv
e3aKx4Kv+nqu1rygbdLadqlWfSfrtXXUXvaU9aDow1ac+ZKoPEap5bF0UMuuFtCAQfD2Q3jfqKLa
Zrg3m1TObgMHgci6hXlt4UBVtDXcpDUcW6mKj4Bm5UdIceOnavboqjQu3SEjiz3iMzDetBNHXTNF
Ji6iIS3jIObqJiMg/xxPUahjveT9kY4IBESO5nLdFpU+Il0/gfbocRl71rQrMWVovaChvwAl2X1E
ahkfeDtPOzVYfWyNce9ZlvcfLOV9CfFnoT1NO7Eq60PjCdjVcqN7V1sD5cMwX2cYEDaBOmnUq0W3
VMSsasO0LgzEw7FWDCRwlVbiw5yqRXzKyqhYVtCbhMyqRqYhEHvv4tALOJbBSibOQFbJbyc5iwjI
ynhVLQ2cXhqg6XJaNb64TWvebPpU1QwEI1/tx7FBK6NMpmLGykjFAwifH1Hq04sJbt35GuC1r/XV
XAM3Hppu/NzUjV1FuTQb4ZbsuG+AklbN1LnY1VN9jfM5jymSZDurujwxILZsQu1A6M+6KmmjpRpi
3rd8M+NmvqgY70EGWNI6NlNRrieDx5O6WcaYEdOAeOmzc9LS9P+wd2bLjSNJ1n6VeQGUISIQWG6x
kBRF7cpUKm9gqlwQWGPDEoinn8Nauqva/p75577roqwqZZJAEgh3P+c7nvtzmnRGPrhGOF5mjQt1
3BdX4BTNwqhEtts0XxZKlf2OdrNNlybvE71FL3Ju4h6S6LLLNDH21GVizPKt21d/O7gIZpTtSDV4
BYeUWYFz1KWDQ+sUs9MsYv5GoTAtpd8alZxMj2fxV+CGdRlCCWsu7bq2OsctbLqKps1WxsA/4MUG
EFZzMRt5WedAnRabkWenZ8wCRAdHz2NRrvMenPVm1I3BPVlCpm8vquNtUUO4+TkaGX0Lpz7yuWnN
3MFLUK+2z+r2nZBoKcYo2+5mPI95ar3nZWzT9IdMVXOKlxEtOJkBLenWJJ99t4VVG+N0rjI79AdL
rf8A4wT/BHJ2PmA+lokKjwAHl7Onen5SqlVfhIvG520j/OxVuxV0jFTJBWEqJ2KENtvbOZdhje5A
9/bo+pUUxnQSVr4eS4Zr/GTRRVazcxmMetJVDWodmnO9wxg0c7UMyU2gprWUGNyf56bNDgZg0QeP
XHSCyanyusfJNEiV5kkrxbFt2FoaCaCPtWOMj9eK7dchC9bjQKMHBkjieziZByj2EJ1nqF6K0v2k
yaDRSi3NpcdI63KSRVuF+0YfFBiZSu895hvclCEop1ZUWz2KKhtQxmsX9F8tevpcZsl4CtqalcGG
SjJt8ZTmKfLbRRAGexF1V2m6jsYc0m3wMDO/P6tNnBbXD3euX6aCNxMz6MCDAQ6CED+UiqO7um5b
HLS6gR8c4Nm1OPgX1RU7XLfCG/gkpp9XFJ1tfxJzmN2vrumrbmrjUx+3vKJDiAPTSnluQ/KYpuOa
W2udLBbVfNhk6spJ7jMoCKLT+z7QoDTGsK/IUIPjGDL23sCqz9lm4U2MrRjfA2XfNUt6KN3pMYIa
GeZSrd9DuOGntA39zT6aAe/fsrT5yucld1MzwI9lUB+SJi5jP3zwjIlqxaeV08l9USmGiCYtd6+/
T93wxXbr9X5bQlkt89TLHKJ+FaeQXIc2q89dC3e6t64GdwAoAj0zCYtggrVcGUjiSxM5fZFxN+Fu
scmRhH1SUBO1FyiX/SP0hzAsl8gtabWqcL23M/pt+MG01Ff5x6VW3WQaDqffVn9qujT8sU0Y0bq5
W09jNC/lFmj61M0JFAFlvs3CzedkBEwUAjs5Q9cqhdjVTapijQIMTZkm4/rke9Ecmlb/inkNrdg+
tXsZ+W68mRa19kWz2v1tnWubQ++5Y7ADPqOVem0DrYvEzMmtiNlWaOfROEpxU28eQINYAlNO6/I1
I/puIwCVREc/TwGOvG6NooOKgfJsnKVvwpERvICZyixM1wIGF3/1suc59z29Bel3gbj6PqvEnnYr
XkxMfoKORP+3ozuaGjW9CEnfmSADCMAp+m453KewMawECfXZJSn7qdQY+EMzpfEMixyuSeDUInIf
j8/pPocQipuOlLNK669rCKs9d+tqIFDs27MmxMt8SOsastO8bQduoVWj+R8JZhzHj/3CsmeQ3XzO
oUPLGC+vTiCrGzEHeBLGKg57c6YTWknfNg6jTl3io1LJXd9x9bCCiGhy0gcyp75vSR5TP0zVmg7E
Vkso1D0lcXqD/8CXoOD/pA19jjqJwyNtxTlTYX/eOYorYdu3uleLPvZB31QOIECeJHDc+eDOvk16
POrks0FJKgYyqxweFLRANYGQzK4qO4nX6zOBLq8l/Eg5OuHGUhwJsTPrdurkckpW/bVJ/dnhhi+G
VoU3fRPc1ZlFrzNwXXU6OSuyzoeN9UmV9PFwVhzyn85CW0xo9Qt0prSoI30xzfoEy+t7OLa44+ud
V5mbnnSkphLCTHIzRT3Nk2AWR8wuEBD9GDzAkntrSWRvYf+pcjNxWzQDm44iVE3VypGcXIfhzPDF
3kxzE0K5mGUe9vy72ursaQlCyHD11hZC7l/7hkA5m3d2SHrT5t3MfgUsTV62lPdl7PbNFN0itx/c
JusLzj6aIzRgiiTUy9loiFEh6QpSB9EdmLQAOkvb0sqEfX/K4ukOdq+FT8GipaTtli1V0pAxybtQ
9GeN+kgyLw99u6sPC7bgHdkGNpZ94P23noraFWTvgw8Zj+YhCYfg1KHgGTidiTulfWcuSY8RCaZ7
B5K7bc4miJqKgWz6FX0WHq1GjR9tR9IHubH6zs9i+Ra08c/GkF3lmQjsWUOGfvIuqoGFJdtUqDbc
PqWOL4+UisjfG5dKlW/JKI9QQUcBr5Wp0vssPhDZkqSM+9aVirZwz1u/q0OrqMC8UAf3pDV8LTiK
wamt19e94Z/QIfAXXTfy0Ghgj3gO9io2lmC4Sj9vVw4MKDN9acJBFVawh5TY+mN0oGy6sU4LJHRp
Ww4Y0oPbjaKpuQwTpFU9r+IWPcTsDk1sZAHzLV7O0YTzJ4/nUHXHpt7cVSSC07NBC0NPM8YknzDc
oL3bpOJFEkvz2ahIgxtO0zUXcJ9C8KbQ+HbV1cWOc+EdnlPG7reWh68rfkBcpnrxb0s/A6NSSQ3R
CAK1yJtpt3dsUcslwd2D2IDa5uOmp/bilVKmRMECtmGWBh3Tvs1g3uZxRpm/dkI4Zd7HPk6+Rkak
eLSXbj6pVMhcB06jaU2jdMqbYFiLKGXuhS9qhvgU9irOMYal+CSA3A/UNt85mKimnBogBCU0tf15
h4fVFwwPWuW121s09Bi8HUWJRgs6qnJl6ueG9rqCRfC0B2jrYb+HZ9XHcwlLcTs2ba2fXLPSt65D
B17yCAe2N5w8Wi0JGBu9ps+WG9RTnGXycfDB+hZE7XJmQkOXGX2W3pk9mN96dcWnxm0/UoW4C4ZX
y54sT5PnLKgxvhhSZ7dBIIAsDm1/nm26vsA+hhgKJBlPqZxwrIILTSeKnlGIsuW2w0O5RahYywZV
MGcma7p7KPwz6klm2HDbEbrzwxxvHJ/02FX1bJqudL199I2NujzeFa0YZKjX0CfNuYtwVE6D2H8O
sPffa2LRqIGzgT0NgeleZFnbgC9r9dsSc3nYAlTdRkYoZrilSgw7bRU2tjuqYANGAGn01tQuuVm3
cK6UjfuLIlitgs6ehBfp5fZp7qbZ4ZSFCSyCLSpiE9U4TubgSfVa3fN9SwFBkaayq1fHzYZRwVSP
uyQw23yXDiP7AvU2QBHb1GuI/u5iQCEclhndP+TMBCpNIJ530a1FmjUrRHvZFY2y490yZ9+ClZAK
h1N9igWfy2D35C5b8Wiwjoqq1WDeAKo+Ti52N9vO13McJH7L43oooxlTx4KOsYDebM5WZMtdYJL+
ksbZrxOSOtVa7+GhS/ePZh9FQa+sbJ12kBVJPUIrM/vnoGX1Afy1qBSw1CrAjX4Uq7IFOD5601sJ
zUb2004htPlSMEfKmIQJgBSJXjb05r0dor3AqOBPu3GxRyGzy2OaSOjAJBuGcuJ0HZ4dbPJyFyg2
HQcKCT1r7S8BKOeNw76BxkrQaUhxIH0K5Fj6e957/HlYP1nm9odtnqADr/3nzNIvrMFhzYOpaiPm
SyglH9kEjiQDPFJum2hKGwxhOSWBPFDSR6ctGo9R0z37VGFUiDgvsiUELNL4ByZalg+dflNWd49x
s5zqgJ7QWM3H1Ufr18DBBqEs+AJwPjyEHh0yoAjEfVYUapcuHyMAr6dt0U+LpMOehzJFaQfMYUox
BA/IkO5FHVJxo6eQAoYPvkdBstxJOpnc4PzPW9hgEHqy6Mu88SVvRndZlXI3ZtBv/7Gt/7KN6m/J
zL+a0Gl6DQX+e9f6n+HOf4YZf/+eP3xrLDEI8QGwMI3QhCXg3f/hW+NLCQY9jgfqGg2ksMf/tK0z
eNP4gyRjEU9CZBD/YVsj7Q0WHTkLNCw0xeYE9n+yrTMEkv+S3eDIPiLgT2CCg7K8muD/kt3ou1XA
LgUXuce7+DJ381ViUmzDdOVHWbjEjPNB6f1xkNRvxSBWsNQYUKY6VBB/2gkFh3nypW4XNBoTjLii
zcLth5vjoEzxw4u0Zn0OcuxxSoMAvufwNQoAYzPYI4epyUCcsbCpjMtiAOlR0p4gEfEXGK3TxbnZ
w7LhM2gjPHSnRNs6KupuNGecI325yNrlQYIOYRYY1VkWm1unYa7EI2CrwPHuuOHiKOpKrG4S39Y3
MjDzM2iP6Gxs+7VLdPClRVzwtdETpC/tpuOS0aZCF8ZyhYntwTuQoqOzT2uK+hz0eJEY0aFB0KeI
7v0hy3pRgkAFEtlM8zFs+p/KsHbLwwzuIkySueKq9QfoGuqgPX67WOlTzGBOtAmkZqkZunn61JL0
tV6XOxTRKRduetm0Jxe3KWRJ+mmFj7Vd/zVe5D5ekPv4Uo84XT2Z3bnfm68IaIDelWs+MPbU7/1X
zVcQxVK+oK32wJIgsymGotunajks4b4WLSxP3IKvjtVwCDu4oHV8vQSdxxw/OtOOHROowA+sD4LD
vPbypbHZ8FnuS/SZOPTubELPB5eNHWICaWOaZw3lcvxpvXrE8iJ/qqMAgMCuP2REzKvKIEiDzgRM
xtRQbSlVj8PGT1AWoWfwWT/sqzBfoj59jW0rj9IBYSV2by5xjZEErBg5ZTpOKzOknyCYBTqP2Pap
iermHI3SJkXS2PGJZjVa5hAzKXDHkD3NdGD3Y6sFKTcqkH2QEEGrQUwvLCBACs1kREkle7bDnB1s
Wk8lYyJG/BL9Zteu7fU0Xot1dDo7Go3yfQMpiYAX3GXeEZ7mc7rGEqOeW26bBi3FYTMB/5REW3sL
syL8ijZ3Le0+txA6OnTDHO+lPJDU1JgL3B5CCNN8vpFdiLmZd/P+M5hgNR9TI2X9c8+S7W6ghl27
1KivBtiAJgeMWaAhIi//Oej/fw56wEYEZ9+/P+lfrsHw/yo+DPiJ6eOvNeKPb/3zwE+RHEcTE8cx
4nC/nep/hNBT9gsi0Ti5GdJkv3/lz/Oe/0JDLJJCxoXFEc59EEx/YEqMon6kIfZM4W7j9Mo9/clh
/Q02Q/L+j///WxA9u8aR/0IpISzGQx5G1xRqzAj716ze0tJ+wqwlT25NyFZloof6A/sxOwokSQ7x
RDHRTBCnnrKWIXaDIbG932Iny3UQaVoathDEOlr2FluxP8qYTi+rjeuvWUTco/JsU6dk8/yEQxA8
Z4b36BZBFFkm/QT6b3M9skFz4NDsC4b6d0kRZLjviUSuCFo8Oy9eD6D60KdDeN53sHj9EgtX+rWb
ftrxyson2R4d+sBGD0jAuMdeoCgE0sHKCnXAzqber85jzCFBBkygf4KLA/QGKbc7ZDdqVcy0ZjcL
YiTnDZGEm8y14VQ5TELv4YiLKuHrzz/wWwDbm2iCL1cvCEXkqdKtwA8e9iq7Zg5cPcWmwKQFF7oN
cJC1iKYnFfM4Alt84CeOGMljPHHQQQTF57uPudZ5Tzb7pnyQ4Ofiyt4ixe3btIX9c9aHYGJdKx62
pZ5elU3lw2zNuqOquYaXQI+hudYiSW0+AMqqi5BoGSL0pdInqL17hTgY3siO1PAzQtaiPEadS558
69VX0qTpI3K+G3RPb0JS1lkSYc4aNnlI0hGuiE9ukLNQDz3R2SPHRgZx6aKMn8BfqcOKIMxliFt9
9EJsF8Ts6MGJFUB3yyf5QiDzPgWg0O8RV0Z0AbjlaSQNtN3akNdaArZFMoydgwGhTbck8gHq+hq8
+GiEnpB05BzZDULk0C8RJkPK7QnA04zXTNiBTdA3Nz/qd4NW+U2Fe4Skl9c8hraNXBEJRlQF8Dwx
FIM9e3KqETBFouyFgtB8cszDnsoc9hEUfGVfae2shYIecAqGLNg+Ut+nBcKRYDgUS5oDYByUFAex
+4Qw5exhU+10B8i7BMiuBMh9btBeKxa6dBKgoLJuvhG854iPbWp5Tggs3wvmnexRpQFhOTFx/Gki
e3QnbBBuTcGGKAjzFCkVz5FTM54dGxSCrEbiu9uQfAPXgZzVDgY6fdcr6nowZ5suhIpZjc8nQDMA
tnvRVy8hTQ9QhzzF/CFNAJwlVkt4M2gEK9/gR2XzmeMfA0iChl+SugmQrDTQz/r6Djz+etuus30T
erxHYLe5DMvYZt86HnQYwigbJWo4koPJVCaQ/D9xFrYHqEbQ/v3sq9qgBwrRO+YzC4cb7ZsNGRfU
uCAT8s52QldWzc8IPWDeHxRYq6SjCH30uIc+x3HdxCc83sHr1LD6KI3xBpEzNqoCsKcqUS011CrX
HIL5N31kwjWc9hALNPJ1oUu5w965DWA938glhGueTc/SIxve2fqmA8xQZKl05w3Rjipx7VBFswAW
I91xC6LgO/c4aYbaFLr2R8RsuuPeUpLvak7u7e5eZg9xNGm2Yzp3/DMxZs87uLv5NW78AIHgGYAM
3Gfj8bHZTJRNpJt8HWr4rCoGEjPZwnZ8ug2heP3o9uQ+9LR+16bfTlj8McARX9OHbpUWLgZ8tmiw
6yNZ0E4hsjLkWyv2YxT7+1an+3GIwrkQwg6HnfRg7QJ8F0GjV7TGSIW2zr8jXsEhWicPXhkwDH0N
Bwr9es+kOep6MocOCxfujKm3h9gOaQ6q+tcMp+1xQvNZtfVeH7A4pUNvDy5REqpPXsq2GNY1OHdj
S27BKCF+lDRfJfJTZUNEW/TJPpU0W6Cyz9K8bZ3eTiEizJ+6xcy4Mbbg2Bj3czExkmyi26vZbOR1
JbT+ynoejLmrr6nKLhrBqKY0vFmQNOlPbIz47aQxIkAGQqxDNdc1GQtyqWkdDIULguRpget6bBGW
hJ6PSOnMoxF3ReyT+93qacoB5LRdlep2fs6srj9nmuOR5WNdofaKe+ha+tdJXvUE79r+i0qG8UCW
1UBDp+kBOeXsKD1iotCfwzcANEE1rzDT5Db5+ymlSPBBGj2NbEyfAJ9NdzZ2wYNNm88JkpghVGK9
HBrrY2R8a+Lyxc09OXPXNZesH9MMzdwVEZrbJSl6CgIGWV5469EGGoTPVwqREnbP6hpWxyicyWFW
tsdEwspIVIJAgWnAMqhmgcy4BJ9nFdo33HGTLttlU7chM89x3cknRK3De9b1U5nOeKexF6GLo+0Q
OmoLR0R0otQgxWij4MZgDPjBbDT+WEYzlrFgCInAO9o46mC8n6cEFbvo0KyWMW/JJymW9Vlkffod
agaGJjA2F13Tr0G2/MR00XyJaYwBbZ/Cwkb8E3KHASxj20MUgU2zEpxzftf1p8ZER8e6r3W8fEup
5kcvI0SZa2C8rN2/7OuelTMG0DJJzIceBxBTDPaFcH1lCFU/mhrMct8FssTI3J1WukyyoH6PELGr
yeNgY1P1duufJhLfI3IzXUZvlgoDFNAq2qztXGzCbKqyZPT3zT7XyFja70snXneogilEO2APDJI3
W4dTgnUUJYcwo/Pserj2/OqYMZ2CbzaAhlHlgIbV7Qft+9eAxrJkmw6/CorZFjRm8sMQ87ys5Gc9
ajhNrS6yIHkHuB2WmAIQ2uvD5Jzttb+o8GoDMf0uG68OPlvOG/JwODuVqpAg68u0Wdmpc/sI80zd
8B1OZheTT+2295cB9zzo2JgcCJidI+1mUaiwO5p1UGc5u5fIC3sgHrsYhpUXi+j89xn9ZzGzRb7A
qsaEaD3e63pkezns01rxGDmkfbLjwS0Sgm+Qfqsb+oVgBHwPNWcPWKcwFGPKnzSZcV/xbyOF09b6
xVZKtOoWdjvyLJr+SMatQF/wHbiVFuWCSyrIZLdTquout5GKIF6KDtBrLI7oWJJnEuwN5rCtOwC0
dw9w5OpHU0u4J7KUgzm2IrwXuwXimyjcoiRtIBg6ijBiR+6Z6j45yO3PtRPLUcEMWPIEXPfzIhYJ
Wi3IkzXGq2uwUQEl/RJoG5c29p/nrj1em01NpgdQRw145uyWKvkTefmTpuOQiyB8qDf7gEUfiKvC
kjcWTpEav5oBc7y37nWDoqnI/DAH0x26NewDiQHvghR0II+WHj3gct1zgsecp5BXSs5ajiAUVntc
pg5Z2XjUUyEAj9E94RYg/+gfqZn63/dd/CeY8r+sHsPGKPY/Dn4PopV/Hff++IY/xr00xCpmqGjY
v4FVwNlvO8T+nPeiX1KwYATjHPtd4vuHwBeRXzCIYREgIyCEYnzbPwe+9Bc8JZDjkDCJ8e3YE/R/
GPjI33ezYAcadoGllPMEC1EIRdrl76kUhPiaVUycYwYKVV3SzvfPYlD1mUcRTtcdowe2tPiDMtCo
ENytzwBLsEABjP8nPqXqPYo7+xayyb7BcKLVX0bo/8c8+vcVK79dHcUqD3TzGG1jbCv7+9VlCyQQ
smURerVIfnCBtQPYODJdJu5Q9HU77Ed45GthFeaH/H/+3Yz+q/aZYnFzSiLM4iH2VUTsenV/WctW
CzqoeGnBGDb1lxHB8GLZlja76zMjgZMonlxomE4x3qY4uXVR1n4inWm/Oj/578li9VoqhJnPzdDY
qkdlPc6DWVCTtIyfsCdF7QUGHQ6mYpwvRDF1iEIVwXxDcqJzI+ZKLLgZHwTdQ1Uk2ICFphdNe76R
JCmXxaMRSBcBlYvNKKNrF9P3BktEgIbBAsXWAqxzsJGvoFgszwKV/yD3CEphMANmhlmbZaLIaiiw
rI3Ct8CYoAJH8rpg+ANn6zWCr0mspnsTYTgKMAZh2pXAwfdgrAGQeZZ3fl5QopNt1XlTx6gfYgL2
C5j5C46mkV+7XnLhW1eXsdnnN8THEwuKfNjCPCTCrYiLpvEpZf1+2MQQH11GW7DTdAONElP9nC1B
94R9IC0pu0aH74NEGlFOSWjKVLis2hZm2sPKXApCFo/Ss6tTUBi11jEQ60jMr2SRAjG3ZFtuoG8P
ME9BCj+7dklFAajC1iBrYb6MpK9TKLdzD36Mx4qAeGo8u52cQZS1aVq6oaxmII4NnJtSYRHJia+U
BhAlcPRunH9JkCGqBI+nRygo7mAbxLwwqyAEFKFphsEbOnJA3AjrXODGPO4DBWcHJO+7FnQ99Jia
oALieMdweBNjenz2dF/B18ulO3sQkCUU0AQ7H2Z18mPoAYGpGXF3I/1hpjPUEAxOe1zoNXJzserJ
XqcSclsHqTtj6Uz9GZ7fcko3sal8SLj4EW3hir0/xHHs9ErGH1h0COSJegjOoBggkWSk0aD3V4+0
fQzOtyvx7L2IJujYPRYzLVzlQFvj7YWYsXUqx2o2uRYI4uim6CB+IA2i5h5klahbiKCmO9JQbt/7
fh0Jum8xrkjQT2oN76zOTPuxtkhVnbJpjeiDtaY+eyQpboaQdUjCAYXILjun8sOD1F+KOlsczGHQ
ivM3rNjr0OtmsxYF1BYEHebFTEGFXni/W3eC9LMNkxl+5ooVci87QkD7aV8RfCuCeoIMJSeD9Spg
1hsFMXYDRtZDYZ3ACHEwEM3WhyevG4FSgN7QiA0JKSjH8gN5VkSOsdEXt7pDZnzvbf+MjWrXw1Dg
9WPCmB46vyT3dIE8UiC0+1vcGq9tFzV/MbWHyKbBgqNDXCP7NrcYdQBUrrh61yT+hFnUn1qYv+/Y
OSLft5VmNs/4CrNRbHiQKxsuSFsB+F5+DTuzhHdIKfPwPqu3684W9CIfxg4ZBy41+MNvR3mGVy5A
BS60mrsU52gfzOu9a6n/PFh2XQvQwxW5MpM1rbGvAZWA7B8ciaNQndMVIRB17pssi3Af7aSByS4J
kLUvU+OGFg1IwKePZZ+RvdqNt7fSYMTRluCKoVPI4LAtM5g1mDzqqFM6POwTouvYw4SZMbcQ7J6W
tqEPkZR4sNo6HR6wfECPEB1jyUvE3dcbh16LglebxXgZYUp3OBI9ZCs6quhmgp213kfauKv1xOul
nKxJvgbrhCgE3pw+K4YGwGcp03gHDiL21ORIwW2IMgTyXsR7hu1EcSfzGo39TUMdrfoNo7Al8yfm
tvgGe0I6fiQQXJ6Qo2BDGSB0sx5TbL6KcuwRgI9LZVYXEchvTIxhfyfYWmu8M/t0QY9qXmm/OCgd
YuHf+DrFaGQZEQcMtlVHZeDBcHF3iYZO3tYCAbkl8RgcZp0ON06nilepM+SWBcN8k1EKCAA3UPDa
o854vOQMfB/GdpkTPSa0iLm9oscSq3eQL0im/TiBXMTpt8ZYMoVzvLlqZNHB1Tjw7cjsf6zh373c
/61xhEOLburfOwb31y2z/1V+9HL+m1+ATuf6jX80kFn8C0yBGPJ/zLBGj5J/GsQkjCD+x7BlKSia
3yLKfzrEv62uReeEL6Pz5Ohf/tFARhxr9bHCE6zT7wbx/2l1LRrGvzkGWNqY4O9ZihlNKAwKbIz8
lx4tylKALy6hFx9y1Mxja68DcilpmI9gpoI5QgxsTIYZ0xrvMNGCq3hHiCEmBW3Jya4quNRQXLA6
IRixGk3LIsHOpTvZTCcBO+Gc6i0pkbyKb+UyIQo9WYW/A6MJbuc2JbmCg/aypsp96tIMEYBFYj0L
UVoC5e404Hm7w+b0BAarbnGirzVSuhpPJ67b5YIjqduKu5jBM8ZGBSyX0fUTGNcHZ+FJ4H3MI5BB
J20V9P047YtkiM8EDE+99FkpGv194WQrlw5Uy7iarjDYVnhXm6aptjks3RpiBUiMXnWwQVVjdc9h
D70/cgklcGro8Vpm3nAid5BB+xakZVQNzjyYHuJE0PQzNnrN7DAkI1Y8IbIC4SvG7x8JtmDtOirn
Kc0Azi7tc9IIiUVuxJ9Uj8TGJvc635RaT83cPZg9CxEp6j3ijKBQF5rBzA4VdIiQs7JpsShuGxf0
kHKw575N7gSB1EzY+IyAK5JTdXLMxuWkog3j/kCvIWRpigjrhEpah8cAPCKys/tnPq87BKHri0CU
vJwX5H+HHfOr4UFcDeny62iRpXNuPKuJtLeYKvaCUVdJnxwC6L8HSK5TufRIh7T4uwXQiMSnrM7O
8y7DIu2ROWt9HXzeWYtQWLhwSHXA79ni3IFGTZYH67jfUCm616RT/saiFEAU2vTBOsIP1AZ7aV0Y
ldM13cXT5ugWZGs1XLcKseqvyqnoVgfpzQ4Tv6Cc6XKxZsvZgDwiA0ibaaXL4b/ZO5NmOY012v6X
N8dBk5AweINXfZ2+l+QJIVkybQJJD7/+rSy5kXV97eu5I2wPZNVRqQrIr9l77dLaF7l+wYLxFs7r
De5vuUnQ+h6sKrP3jr1iuUSlufr5j7nuxTGvmSFP+VRhM8vxVLjRF4y7+Q7ssr/jmngpOw7AiUsi
bJPHqM7rA7SMZeuCt9tCS9mOoQMQtTMmgN4/azd3flzEyuqr7a6xAXxilDXvZzqKfY5b6ORX7FXw
Gocbq+RaQIShGVM34pSuYtgLgEx4+vi1wmnfWx02pkLOlOhVRydVL/rohHyDtReJQ4CW4hB7+Wvr
BsltZafq4IWfUGXYV5QnSH6bwHopkQwab30qdricsidcyoAckRliYGZE3WRR+2JXc7hzZFQ8rTIU
u65bb4kjKw8hHue9G6fBYS0GhFe00ftqdpJN71r2Qxa0695eC7UHephuB79wd2nvUXGgRzg7DCa3
WRKOjJKSc089fs32ZNhZbtq8siXgU0RcsnNFjogtiaadPzFRs30zY/Fz+3WJhb3pLSfgztVU0Wkj
EW+tuDPWonouLG95iNmUXDl9x4STaDPm2RMKj33QhNNu7lWAfb8q9t7SFQfeKtpQCyd2FFg3VY0l
rC6CO0sUn7KR1iivOL1HLQGehqO1kyufZ7N2PhSaEsOXZ//MpDvczVPtXzXjagZ1/bMdZuehGoOr
cJWgWlvfjGw1QAIPd2k0a2ykZbATVPwbOAGEG5VPGbSt2BkeyqHqN3aeOewsrC9KrMuhbNdrFP03
2cTvx4FxnALcpJWoqoNMrBaOVNfslnikFiW3aOOI7KOuE9qfcH3uakBC0KYS1CbS2kzh0G8hJi/w
z5i7tpXmkkqC9nZx5WFQ7scIHcQmzHIPXUTnP8cuTj8lo/2wWChf2KTMQn8ZsUqi/l7iO7/NvaNd
Os4VBV9xyEuQqIVh/eEQQQ0eqfCUevZ9Xbo/BkF3k1N1njt/fgsnxmkyC/ptuXjBebCz6iWKxncs
bQCTNfJLkLI0HGMzwU3KF9cZrqXoW+N9h/ndqo0PvPW2lAF62xaPNNqO2EvDLR3kzy3V9C6LRMzi
c6iPQgzZLvaXfK+nvrxZqOOOYobH5XtxdCrp8Dov/ZG9ZvSyiOVUl5VzvQb5cBjdRR/6sEScGfIn
Vuv6QpOWPXRFcJM7HEKzxR62mOj3CycpD+3g+xtb+c9NAcwbUmPGJqE7J61mST0iJEr6AUcKnptd
qnTwoSzm91M8oOBf5Od6cNHQJCXGY1z3x7maLawRMWJogMn3PUZwOwENooUwb3y6bZBMbXvfbdjD
PtVwlPdTkB1mjUCJB1p5dlLr3RAhMkKr/NlDCM6zcBjO4bhC88uydr/EMSu6ec6uaGCQE1s85abQ
YmDchoodquuxg/H8QyIn78BABfuraJxjIvN305j559UK4c9315iusbZZyc+e1cgraFPxAeUWzXPD
hNqHa7B3hLKvwoYZNh0es1OeqocWbfhuCpfVqz5hIq36V5HhZSm4Zi0dYQ+cYAA325nauZ7eehww
kltRY6mDSsXVp8L72G8jWmLY5oW5yepc+Z3H8BbLMZyfJnDjV2+YKg8h+7KAWkz2fgeeLy82emVU
jLccWuGTJ5QM2g9Aiqu1umq9sUMEl9dhKH3wFGUGH3FTNawv29tLzfjvXPZvy+tLqfkX5TWhR7df
5uynP05nEbVQof5SXFMGE/HAhI8gBxSTqCx/U186NukPvhfYAnBPZAQ5v01nPcmLPAro0GXS9pU1
9Kscx/kB9CSeHc8kLFyiHP7BdNY309dv1DjkYPLH+4BIfMr/yP+euq9zUeLrrPKb1h2y5aNAXwzo
Rche7O0Ud3uE06HFKnrKAL4q61xz8uFjiXxZneops4+B1S2fWy8Z1Nay0X3Dl8NWOleB/KLbEvAC
OQ3tqk84ai4m1KKcFvFsdSlIGVbVX/2qpayYiNhLwsUMphSDRXQPr72Xj2PNnsrbNyjEm+XZq9q4
3wbT2DOp8yZCAZjBWQxZDJqnUldZaOFzDzk+XLy78AZB2frFnN4ELKua8JkNGJJ5wEOhxyTZwUfF
tj+Hw9e9dIzQnX2YQ2u132Va9usAc28MXcVkR1X2deZkxYDvWVNud+1B6mZ58IHWgYlYJpTs9PrW
+mNT2TL79wb8H/tb2/tLYtfdl/Hj5+8628tLfr35HNpXFoakjf4icf795nNZufwifhMo3GyJ/Ymu
GIoW48/fWlkP8TT6ZMBRoXBhwDj/jNH1/cDfZp9i/hiQIUiBXWlu+W8H/mkv5rFqG+9Wxp18W2Cg
nhfPsVoKADT/C6et3s1Njbg40g5TLw02BJsJR2ZYHgciOW5Y+w7ue4a+BZ7lsk2v9Tx6Yus2Glf4
0IrlzRvF+B7YZbvrk2WFYrq48zYawzHZNMird3OQVuMRu4vzNECi+FCN8Xi/thHrQEP3HZgpthKw
FAXOIVOiOMk2ByPcFvBtZLP0xyDiLeK5yjEGJXhXELktYDjFssjggLx1Sk5o8VZoCkVuf8oBUC3M
8Yris5aWvs8SfwRrMan5Po7rLtmwu+Xvrhq1oBtDByHP9dKK9bA6w9wcuwXND7Z0v3GvhjBZHnTq
6+Wc0NbmO6WW2brC1M4cS8SotYCYA8F+dMOmfoxEnjyteTHea4rAJmdAsJtSFSZbhgHjMZ9aeVJR
WeltLuo1OWVzD0Y2HNApWHA7++bWK9xXcGW9XKkQY7vu9Sl2/Gw4qthNPHkM/apIDrLFGkwjTiOD
zACP5XznYTisnG2/jNZZdE49YFFLNIpehA8hEvV9hvSrnN91Dfgw72kEzL1pef5Q0Pq43ua7gvot
iveqzNpo08AiVYcmbDDtDJ7wAuZpVprH97GzWAf46E43bf2u91w+zGGU/U1nWyNiIG0Hsj7Z3eTE
126bljF8mW40Fw5z33XO/fWADpKOG2PbVI5XfT8MjX3nLAo/Iw6PrgPQpigc3alz3iesq9z1AyKm
pWo/95PuFdUtT+syfvy34vhfJcCM0f57xfF8kQD/50DPCIB54e8DPYprB1/HJYQqMEEvv8ZQmYEe
1xiujkjAFfum5jBTOza+oJY9oBqe5Mn7S8nB85EEKWg15Jk7F03xP1kIX5bbf6w5kNy6tu04PMVc
xo4gEb99COLmrfo41tY1Y//xkdpE7Vc6z7Mq12Ivm4GsiXV0n7wyYORds190kN+cQyfkki7q6WVB
wXvtdZzMju5Dpms2pnomX9W2qnHVyqBK90WfQG7zTmB/x00szL5RVG/TUDxMkHm5pJNwa2GW3ThB
DhK0E9EmUuCMwB3g5wbD5D73Fa7MpnENBypRd2Iau5fKg2PTUR3tlqEtP9vWsFlC7zWv85+9Bu8B
ds7HJVqQG9aBf9STL6qNlw/qKWNHc8UkSV8vMh17bFiqOI7eihUcT+TNMgXyrJJZ7XNWnleijaMD
TFV0JEW9Av/m47wD9QIKdRJLDBQGlexGzhpF/mJXy2m1W3vPahfBna/9G7sNT2XpPjW2ARz0kXOr
Chxq8ax2+cyOMQl7Vg5psWy0DuNDD8duywVT78PKaXkgF9MmQ+uZFF675ctS12svioP0LXml8hxj
Qo26dxCyOcxuMtMEVYRh8QhijVuU67P20YBNS/qGgNl9nZQfnGchxw+VU4MEYRW3s9mQxXcNJj17
X9YpT7mttiDBkv0Qe+tz1XoFxVY21aH1U1HODucRO2ZM+AONFUvPqu7WLXMWwbJZECCEoS9fnrRX
hXdREsEQm0Ltzci3Rz0dFe7nE4fxfJSqQpaHCVzez4otrSV7Gz1RZqm034Rr540bMBw+BunWRsLD
YbQHW2kCJ8YIqU0+iOLOWgD5WDtLzTOz6Pprx1X/0oAVX/sxfpDpzpqvvZqMq950bqaLa9dLRxd1
dWYavBbJYj49shVWx0qDZ0nuOTvGcTqwN7eH9SjWBsNOxCm4YNK3h85+tqDm0iNaBI0psl0Sxqru
wfbDkCfzhoAP355vp6xaGn2g9a4GsHu28w4wyvw4zZrn+ZKTU3FgNA4NrbAw+uLYZ1xtDV0HOZMz
6y0t/KzYsfdBANAHar4tHCqkTRVpFKuJXnc1GM4nXK6EfPAkYWyQF036FnMeqjsrX1xnq5rFvl/H
KRgPJSiYeDvoFHqe01fVFbSw9FRXDDmzVXrJllnPwqYyZXTlWe38rgA7VGx8TXCHToW7KxOV3Ot0
0feBBibYj02zDVLgOUfegH272p2/V5x2+7kq2WUuFRTCrq2gcmtkulI7RtqKu9ewOxzyXvI8Pqch
fqWwkYQ7cXTC/Eh6CijHcvoV5QC4hX5kKkjei9cvG2dMXSbZXY9qTlYPbMiSo2QVlzqjfx/lY/IS
l8183SAvJhDFStYP/x6I/8uBSMlt7Ir//UC8+/KpJSrljz3A1xf9ehj6P3A6kq2ITYAdF1ivPx6G
uBttmmmwLObE+7UjME07cp0Q0m8kL2X/b4eh/Y8Ov9Asq75tuEMCsXyHlgRXZcBi+zs5VOkNgBTZ
ud6gbI3G9HYtWtdE2HhC5yxvR5mJpQGzPsbpFyAoRB0VWTG9+GEbnLu1j59LFcYrw0TPvUVaGNy7
bRfczDkx16SycD+6xAaxHiau4VCt2fBedErdtaHU+Y7V/oAGJMzu3Dn0toXfJlBHGAXvGyfttj6W
krseTOk2lsSL2WOoHorCrh7glgxPwM/Y75JGVby1yzRdGQ8lHs02qN7beorfgI1Y4HnDOnrCp6Oe
WCu9sc5iRRI6PHkdmTwE2l+fbKdsn2bE9gdMC8E9wQcwJCcPFWsD1nCG/bEdA1xxIhVGylPo8mXI
MElLqTRk3DpONmIlc03rpnugZknfcZQOy9au4fF6yegeolQ6zzyV0id/DmDT2YLWx2I/ADZkcm9C
3b1SWPdgU4jebDdi9NytjdX9pepRQ9rO/KmYZ9bh3lh0Jyrp7Ia9Hg/rCpvMj1m1QvfSfIevZZGr
O0yRKd6AdL1qFYOeTbp4ya4cQ/iqAIlD9CtW9oCkIj9ZZXI/FXl+kDROuzX1c4SYUXSyp3q6Qcwx
3FSWk92ljgrQskA5eF56BNzFHBXbPijc+7CdYdi4urqV2p5uRMfBTxnofWRoUV/lkdM/B8gdZrCI
VrGvXKQxmzZ1wzOiheF2dbSNjFRaO6JQqkert71ncpT6DySklz8vbme/uJA+jdmhumeibt15mTwk
vt2/57NCSYY1NXrQXajeI4kaDw7JXztAPvYeSfB6nGzf2lteO3/WU9fdO31T3+R0VNvIM3ywnAsH
mK0VRT95FEQYHlqH8gqNV4WYvkyLvaBse2RBZBebINI9Y1+1bpRdjwRAInEKibsZ3TG8roYxOwrP
b+5E6yRb6G1MnlyIgGmXzIfZsaJ5P3I43jSrEKcyacKTTejGlxxP2YPdoInNCqzzhZ83HFt+bP0U
EkSjNnHSgZTQE5zFDWOo4RrlsmSEmKZXWcF0CjNZviNrwH+fOcp+h/hjvoEhaO9T0Q23oN8h1dSN
Hh9b8/zXl6PAupwKSHVfCPry7416ozVnx2hOkcycJ645WYrLITNcDhzHnD0sbwc6d3MiBZfDqZsq
DiqCU+Iz6SzxmQlhi9raHGnh5XiLL0dd0MbqjcdI8wCacz3BQbShtyofcxjnpLwcmcDZ0PqZc7Q1
JyqZXMl9a07ZwJy35eXo5d6mOb0cyOjql+cgKDimG3Nir+bs9oNY4ZODGrpRl8N9tHD7Hipz5ucx
6LMtEh1TCsCZeJMOszeEfjW+N6F1zJMkawAfqPozinPKisFUGN6l2MguhQcjROstGU05gruV0qQ0
VQoBHxQs66V4mS+FDC3x/Mh4wHnXXgqdpHFbqp7yaw3E2PNSElG8mwqpHZuEeimZLtXTfCml4q91
VSLh9T/1HmaCEwME7naIb6xyiccIczU3OzG6xfTc5nMS/iSSIk7RQ8vSnvxXNeaTlnskM1ZxsIah
zz8vsmmc4hjyFbUcXBxu/47i/3YUDyLgL+uAi9Llz7yxLmMTXvpLNQDxQJhOVoSBLzlXTf/7u1ja
g4UFNxpBLjJlI8b91R2LQga4tRf6IccqL+NVv47jvR/4raALXC/ybSO//iflgbSpOb4tDwQgBiy4
SLMDkqKR0BjF8DeKYFnQGBLMnJ/m3gQROXj74c8j9Zx27tjyaKP4BYoa2jINzrG7EC2C3jQKt8Ha
YQ1yJ9rZA2ZDBZbYhzfJqVM7E3uvkQQNAh4JMlMZAEFKEHFu6t65g40rzj0mR8htbq4/oEj2zl9j
YaecKdWG/gtqIWalmyiNGRd2aLIbeyVsa8w7zLBT5YQ30AjEx6ollE1FysKjhJgO4mTNJO7okgbd
7rvCMi/xYvyaBcfBg6v76G3gYeEiIzEpc31HdMslIwWr1/zU5q53NuFIBNg0s2zvExdi3lXtt3V4
FUSSPDwoWi8leXAc5SZUzQHHl20bwYJ6KWfUicVgsluaSMBXYYPfnmwTQmU2Ih+lCaepa2s4eWPq
va5TOD9U+NROnWeTDBaojrwWl8jITWNC9PLARK8h8GFjTPhf1x2pVrrPiLH5BC4R15lJfUOZasNY
8Vp+m5jJP7nEPC6oXCGmwXM/IeXh3U4m3I8oRJNPZ+ItBy/giGOuyt8aBikPdVTCH8rcNgbm0scF
PbCRJ2IpU9dVKtM7r7Dym3CMURJM2XyLHXo8e3VUnKtM8hoJljGDCWRCatSsiA/juuZXvn6hBIwU
LZocQqrcwXzD40LiMF9p170nSY7kuOmS+AyRFv6bDTEze7SUy1+hXnJ+SgMMF/hqV5JJ5ZcDn8sE
4YGl8AyBHqCUYDcrLZkQpUwS64hcSKUcmEEn0BmpFVQdY8WfU/RNsNLHKnpj0/2EK8s/INQMBIlY
RKGRuZA/SqagYnMJ8mkcRT6e4AKc08lctYoLvZgJfTssTcJPWmOX/0ri3gjgMkE7FDgmBYz9LEDd
kauBSplvNvJ6gpUu9mnEZgMANil7vW2SjosP1RiZmyNLro2cmv6zRKub7O2eqLl00tyEMpr5ghnk
sCQGhwRVtcjJPrqqcpNzU0AMUvuRS5SoWG7Lm7qJAnGSnIln42YlYHLyeN/4kUgyUiZZDPQIWUTV
pLhiUFUQwzwL/kiyFvjuRnOdLIzbPwzmKwJMTg6PPzQfQJzxw3oTVIe3gUxRE76FcBUhnHAIHwQ+
9na5hDOLfCNEw/V1bW72SzRhHJBjjHiXj2RymajPCbeCWvETipSi9UBkQfTGpJAPridgy9s2ZcgF
M5ik5LIK+OXLLTGYZKEgo0jdLinB2EybvTNbMv3hkrek/caIC4bAeRFTTbYdIEpr0+AcgFmhkQ+V
rUmSDEw66gph9limPgaAS6KdtLFoZ51JMTOVNvcDsaSMekwYKqE6fD6xiY0cXcxqqN14ggg4NedL
3NJkki1XHfAV9pcg1brBLrcprRBi5CABxD3keiTVw2px2O7RtTOOKiHbwueDkVTm0Y2vZwvLXMpe
Zq7hDYPIoHM4rB2pQ/uImyLeuC0EfKSwPLGUW08Asrq5uU3ywUxQNPGBC/cyfHNxxi9BAKFySn6O
CBRxcAVZVXlfuy+2yUPugaTxCSoxPzUGzrRx00J/KGzy+iKnS45xn7ov0uOaD9idxocwxSHw3EUs
c0/zwCPSW/kLz0XBFWVFLl8Uun/87ogAm6ukZuy198hPSa+oX7PjJd8YQjopWKPJRitNQF6XuTya
nXjhmooh9ZB1Gqx8rei6yXICgJdtZ0TPL3ogISyHKEagUasITKM853pxMKruSRAgPTaCxLBRAdlO
WR05L1AueT+5asiwG1EtcSc6Zb1cibzlxyM+6z4z0SWfKgVTQMHkvKCTi97ajEjDa9GQSjc4phW9
XPOCwS1YPKQp3tbV5vofZODcXbI+2W6bbDbbPPbGibHw46hZ/B7IVuL51prM7xIvKdejwSRvG03i
o+WtfJFfH2l558BPa+TEpeTHYTuc87DT1oY1zNTSHVvOgwi4u8qSpLXtMPHxeiWRCeaOU2Mo3iYg
bM521n6bgkLlyVrDPQuOE4rtNyfzKmbPSbIU73z6WwzNwjylyMygk0nJy4pMymg+aPXopIO7DZPq
c4X75Nw2iOqp8G1zOMcJT+BL4Ch0Cx5kFM/cwSGDPczYKWaA9N5d0uXE48dTZOUlAyXEJqkZihM3
ukbXqurAfrkynokW6LKofFxz+iI7KyVBlr2VvF2iVaveV3xFlW2S/YaZZy33JEAwHjH1xppc+lZP
t8HnulJvpBQCDI/nAQ/LEk4zdYiH+FyEZ4MMJo4hqMoXWr/mmjMmfKC3sUH9tGRHtNpDs+o4/Z2P
1uy6G6DJADhKXzOpfcIlq/hHzZDacsk07siD3qIr2xIaxD2wGZSjrOnU98u5S4eGYLGoVfGDneJZ
jqL+HYzuQwMS7WAFEgACQ+JcyaeY7a/9bglKNEAIdhW9lOPUiqdqzh0uAlLIEHy6u4Zp+M6Fowq9
p+t9Apy1yCG3u+oEYgKsA3oflgei8A5F5Y4R6rD1gEdiuvJzQP9bGiJM6m7VpMsBplUpTwykM0we
3UCL6Mo0usblut6Hcy+vOjJYH2U2M9qYrabfqMl5ZStS31p2UN1nUCGupBtz9TqCoiQN630S5g3o
g4Y8i7yQw3WLAviWKartbTrLnz+Wos5fF6leESXq8qbUnXjUBXxGcuemENtVGx3C0Rt/7pY2+pSG
YCi7KYK2z0WGUURmu7Bd2sNi5YwmRhxmCzrEvaLVwtIhGIOwNM5vASnmyy2fV/A578PqsA6MgKAu
EsqSTa/YFxr4pLI9ynj6cWSz7Ge5/JQAkHxKffz6TskEGsprvnF7v33sbD7WgAnT3p8VwQKD+2Ll
En0wo4RbOLUreSOLvwXnrrCYWeIYR6O8aaJM7BPdvWjj4tq0AZXRvlO6xuId84jCp7r1CVzeJ9QN
V4NqnSs2AdbJj+ruXESDuKm9Fb6yPwPMLbT/PAc1ZBJWIgzX0Y7kPLE2XCHFA7O5naTqtNbCuecQ
MJrGsTogAQvOZestj0kNUaryqpOLNuRI00jNuuBHmZNoOPnMxjcd7BEcNjMpBk0b3ZK8hAtFQf+o
KvupaPMQrFbZv+IFsW4W1ZSYOULJ6yZq10/9WAJ3iFm/XhFEoo951tfvc8p3yrtBjfBnlVu8IFYN
Qd941p0daBu5LKDVIhQHHIDLIa/JG5psKT/i330/W5pUDgfgwHZs284I4YSJWsA2t2C5O9ox+eY+
1ugtD3/wvD7y5JigufNYgcNNE7F3e3I7nMYuzdPKOS95632M8e/oHUv9+b2o3T3VdUslCNpmtxSA
t3stwHtpnig8+VsFcxf6p5W5khU1pC+VEpTXuQshR1PpGL4LgJpN4w1k8/EgYfqld71vP41TUcKc
BNO8UItr9thPGXiDYePkSmCOX7sRTppBdoCM1rvVYDwgplTNNiESogXWDOijN8iPjPQ8zIHFML1Z
ReeSVBMQJ77JDCqkZSLQGngI8qX6NoMIusu8fnprUGKcV4MbiQx4ZDUIkiEFihPlMjsETCNepwQo
yw5tuwGXZF8xJkiPYZoQ0pOYlOw7VoDdOwu73zXxjbeAmbsth1f8rAYAKdEELgCUfxQzFNWGodJd
eCoQXjH7W/oCWuGpFTFB9QyAJb/QWBIaNzQBmIaoZg2wZb6wW+ILx4X16GSgLuBe0d37F96L/Ap/
cS8kmARhM1gY5n2D9yFMFacuqW3Y/cKMTLIDGxxfXRMSx68XNSXXzvZVH3L1uASk+gM1aNqm1GvV
1FGIBKPgbMp0Uy5XRD3NT5eAbmpRzPl6oiyHKdr8jZ324tX9ZrRO74xgn38ZWKLnceR3PpExwmbg
WWF5qlBhtljr5qHDt16YYE4/AnWB0KvaB3OnPyJrWZ50T5epU7qwDNDbk0IJ8s0M4uHrH/0t7Mr5
3t/LupzTS3gGuIWT43t3seVrax144p8IKeXAD6xgfrqkTXc05/B/8F/QDLpEuwsHn18zUhlWU92W
R2P5Q0TeNaZ6piT96zfm/dkbC9AABEHIRt/Imv44ZhjtplWtTk9QYqgtEpBM5bCJCNaW0LIzr6ue
m7QMxZlEHL7rGfFfcYVrcnwaxIg/MB2n6M22Sd3YiEtFw14vw6VB+ZuIlcIrA9S3L2NDkWlNl15F
Nlh1fL30uYVs5+F2YaTz+Ws7kalpfhpW07+xtiRtOc5IZh9zgl7NCfyR9FpCn/Ebk0gDXYHa9a8/
DiY73w9dMD6FxlfvSgYw5v9/M3QZ0hgaOZZB6EUR71IRtza/WwXQiPdiWVd9ECqijq0rvywgJheU
bX/9Bv7k0kWTgYvfEVj1eRffbYWmNHDqFY/tyZ8jVD5QVBLS7yKSku7IeUsT2pS4OWZelibXfROv
FYrILr6D9+i8hDa5raIGSfs3N9SffCwmUda3afgCIb+/nypviPG5iOREOgTt3UzduJ+zmm7mEkzb
Zy4186Bgw+ysMWm+7jwJBv1zUtzlGvzj7Qw/iv0f/9K8Od9LU6tFkhwxIszyl5ImOnf00lCr6FDl
fCHpQsQHsLfQeylkbJ0d07hVohT59Sh0g70zWODvwG/vk/TUm9kLSRNV/jMuV7rfyrDh/vpLdI1u
5Y9vOJBYmAPICYwQI/HdZZQ6lmZ7Lq2jl/o8A916rdKrEAoRT56Ze4AHPwZjF3PGcwWln2WXSrm4
l2xYn4GPcs8lHi4Uk/FXbnOUYTxehct/Z1kuyf4yHvLcxjwy2pwpDayABKBLwgRsy/5hTPbJqNvT
uij+dN9lO8UyZ8FsEdIQfL78Zf+dRP/NJJpwlL+UpP4/KBX1H+mMX1/yqyTViL6F7XtwEM1e2nA3
ftVmoVY1MAgbA75rvJacX78OoI0enFcB9r24MN3fxVme0YMTbcWPC9mFIAP7B3JwhKh/vIbtKOT8
dEyGLfoslLPfHQxKy46xSzCReNwwdzM0u16VROxA3rGvSUMxgmiCGow8ugA/wyasvyini4uKmoyc
nhLLueiryzZvG9TW8qv4mky1psNHMwC1c3COT6RJHYQ3cfVWVbSQhDpNVroFuO2q8QymV3Vcu1Sj
FVLMqkS1siNqCPAgvsoKHWw+X9WWGu0z4P7ldhFx/JJ7urkiJATPGQrPqR5lsrXnaBex7Lu5MLqY
Gg4OiNPCfUmBXVXbLB0mojqUGcuGLe385Jk5H04mWDxByYG9FiNTkMYlL6vqu/E2s1OmJW7aI5Vt
2ZgC/Kb7Ko/VPJbHeQQNu6PDyM4BkhR5Rz86suiFGHfUlkV/ERgJbX9R01oMX0nWQmLbGLFtvhrd
LQ4vfnAlcromZaS5rh+TX2LkutNFuVv3iHhTtJnJhrUs2l7ssCs5ivToua+R/raIgOO1lsG2TTQw
7rkOZ1yVrc9fVFzkwzHevJvJd8pj50KmEk4x7oOkQXLcOe3NVNeUzFLIac9IjzoNAYJ/DoxiOTLP
HWw/QJOzXOj+kHatzQCZSx3SJdDCR0Kp6A2sSh29vowZPPjzylHeS2BveW5tEf+OcgMMBVsNcCl/
0wSjAkIQk0WRjEN4cKdpwtnKqk8l7pgcFre3+aCTBnOBg6HmZxlnNs5HJzkgYKD1LmJMQnYllo/K
iUBCMgvwj0M9N88OXN3rIujL97UNXTi2R3oWuv/+VI6pcZa28h4JMaNNUjNYh9b4DSl72CojAnBG
AlhLkrvGZN6nso3uZ4ROYOxagni0SMgjBsy/IZm1eMajD6rCTwckgUDAzmTzuedeSR7Avox/5G5o
R0w6TvQpViNNz9IBMz4mvXYRDmXDeWqVxLo04puKqrh7DsX4E9tFazcuYOuZRxFuwB2QnYmp8ghL
TeaRTSa13Y0KSnFVpH74IcRBfRy7NKC871bHgfGLHhiVpOXtuli/+KJs73Ror5/KXsW7QSfLGyxT
dYpXCBVby8I5uiGczCM7yOrul3qu7rRP28AQOGdC4o4ZcR9dgcmSNdBrkKC6m6yoOleQUt/1ulTs
zfu4fCoEYX7dWjTHsVfHHgjClkmvGDY+2spHP9XDFmiiFx3qCg4LT5YYeXLThCSS+n1zzyQHBnJg
l18q6IJnjVSOPENNPTgvkQGo/MTESuw8NCh0qBmFQRlF21q4H8mJekdX6JMVk0TzLhpRdxQ77fl8
jwjAddoMwcPUWRDDYK34wbC0X0uAf0/FvzkVMebbnFb/XadFg9yZf8hNYxd7kX6dP//f//PL6345
G8PwB4ADSJldz/d8hxXob2dj5PwQmMMSp9Tvh+I3h6D9A85ejBuonCLWu/4/OgX/o+5lNQz3HquG
E9rhf9S9g83clHCY5IziZb21VbscvdyskUAEECXIrKr9aR5G/VPjgFn55mP5k5YxCM0J+4cq0vch
ZnFCBuyBOfP5EL5tRjKZMbkmIfasQLPeyqRApO92eJxW1XCy9Kl96jVPv43r9HRJVMWAqUYiGW5q
US+vazxA+K2TjpsfezDClcih1doWsYu7IRPFTi5W82FtihYLcJdTfF7HmVyGPdQDgkzQP95GMrGZ
kkVs8xaIWMUdAK/xi8xDenqd8chtU48mENlR8KStRZKdE8/HcKKxXyXvF8z7cmR3F7OsNRitgEDR
G94mvJt4qpqPXlStB0qaYlcNlndeBgShDDeFVTWnkm3e0D478Trg7DC7vs1i8S19HhMvCQ4TAXPu
G+m6SbZXQzKD2i9Sy/+Q2tECwDKaoj69JlqzCD2AAyQ7P2hXktUlE2wpEDetNDzUBVCZpymxA9Y9
hUKUkyXK5uTp8JWR64jF6OwI8zsBjEby/UzmYXVkpBaQoVNkZAAvaQs2zyFBdedMIVsgQKiBQww9
u4/YxuurK5Jt1yW5HyWxu8xLgPN1ckEHA/EofL+C4rT2lTPNiKe0PA7BumOehoDIHtufYFiMdzLM
7W6LGN07lYHnAFB28aHG8fi+LR8NaOoIINO+pV8okZpATxvDfDuWgb5u1XTQtEA4ZTCz80iVeNAH
oDvWEpFpGSzza9H4xXs7xXAjS3hang+EsEd788VkzT2FHYEyGvEsEAMrOrBZyM49XoMP/5+9M9uR
E2m36BPxCwgI4DbnzKrMmu0q36DyxDzP8fRnke4+x85yl9Xn+ldLrZZaNiQEMXzf3mvHTP+E2YKB
oLSb7yMvR6rupzvTMFKYbnFy14/UM9nCBA4hgdVWMwZJbFy+H73pEY9fD0PU85rPNhnA99ksbRiF
iIgBk9laZ6N5RVxVA6fCIkdVRelT0ZPuWGlGuA3GwvsiA9SAC5j18W2vyeo16A2bpguqoxOuaHJh
wFFpB3rI/Clk8foddvNpS99W0c5MH2OtNF8k+5xgzpL5EpnSQKHIR0UJw9r4xALuA8LmqfeP2b4W
wzefMN5XNSbG2isLQJ3MCeAyVLOOVVTviPm0Fkk5cN4M7Zs0AYwrekVQuwx8UmoDK6EJYkgCjx3j
ZTQ792Q4+UDrcACqQx+DkLLJW3ZW0Tw2XYHwe7CLXSIycTXATzgRQqt2WVDahFGGtLn6Mn6u8jB+
4Y2yzxw7cdUVKt11eV6eEmWlX8qglT5Qy8A5RLVQt7A8++sMY/Iqi0pI4n7pOvdTzH4eUJBgWhFj
dHSnWtx5SgcRNPBJ7GCD+LRp3Sg65DIQN53bNdc9eRIfx0afeWrToB/LpI+OLX3Kx47i6RyXXB5E
EtBjGCPvpUBr/aHuZXtFzI4HZqpz4oOuHGVujCzMbm1KkPtSjcO2VWTJ67Hn0g7q7e92X1db0PXT
xzEmCj3wtH2eIIZtiY1OaTWCRAl1Ur9oaSL1QARXXk22TkSNR1RGYnVfu5zMUZHk6U6np73I7bJY
GUbTb+soZ4MV6lDcR1l9Ln30fahWow3pP9FS5tZwFxd2dQoTF2N93Yk7ny7nc1dE6gv7k/6OB+Lf
jEXZfVTORB49kNwV30m7KrIx3g2UHbalFcuKenyRPJURJTxeO1+LBhrEc5Lyq9Bku1UuQR4Qh3Wx
JhEJLkhWt7eA93ITigHF1hg9IMoK2/yuTGqkC12SDzbpMGA903gsyRg9hn52S36PdzILM3jmaJhu
le1Vm1FMWr/Qp0g/yijRj16beCetyMy7aew7FopmQo9QsOf30vEmrTqKKQYf6oFkUGulLA9djj+0
4z6CEXAoC45bgUtGHg8jP3Zs9jiBMtXkaX6lSTs+mJVlPMgpsxHPtpq/bCo5fQnjAU7wQK89WnTs
93cNJOTPiXTWox4nAM0Tb+1XhfkpRsW5T8la3FZWFD0SbdzcB04Lxqwlr0/rKpUuuimpnpq8806j
7ahj35TaK7HMOiuaMdyn0Uy44etxrvNhmL7O0WMTLJPK3uUA7w9akPVbvzH6U9/W4mACldm4UVV9
AKXX3BL07K8mq1dbEY3hHStb+SKBSH9229z5PkVzOptscSd6XvB1SMZ4bUXKI9S+3GBK6a6msbFX
ZHC1cP+5TwC6jYZFKWG7jGCmfy0z10gBKA8iRZqlxYc0tKoPUPzbNXv4Yu/a2bydlnHyPbcM6DFe
X32kkyLl2iqC7LMIAhdHyOgfO8N3r3o3BwQIN3Efeu7O6xKTFqnJ+gYdsE1PraV7N/AQG4waE8Gy
JDEfIHi3R79F+xOjPT0NKYRiuiDdRxTqqKFKWvUwkTXSSBrCdu7Qv7jXSvOmb3SV51owwdXAjHjG
V+nQao9haMuXKiqYegibtEBAajG0maEt5UIp31+3OlkBZCyIU6T75BbnPS04F34bEmjb3To4XeYx
MUR07z2tIgY4ZGNfOO5rosMW1iPxanUNjU+o1A9uEDQLQx/F9dB6hOEGk3k7VTTrAj8/zi/wUKXC
2FIcWPbkja6IsTKPHThCaGqFQPWcE1YRmOLJcdt+PTpauqmqwt5qZKfSRJcCuzaLI8qmZqUVotxP
mEjuHDuwCD2tIUmhX1ZEwvXeg0HtYJOjN9joITkC1B1Ca5lppXWb+BXMXLMfvbs0yB2a/Syy6LSu
XU7zvPbM0o+07o+tJQEktiaACUJPUfVHZguTevB2flsRqq7F5BZikgV7PjUkWKTlLWSSahfjt9yN
ws6Xyo605TAoT219o3Y+shcwHzlCxQS428L57mZa95IVrr0hwvPZrlJnTfv2Tph1gzm3QL9EK9Vt
diZTXrAg7jU8DGWt7WVuNtGSkib8bby56ktEW6CiV+kPB7Mjqq9geZsQ8TI0rWaTxYkNsAYWjRGx
WHcyschRdcHjrUSl2H+MTMInWADVqqnqDwBPspt+6MFj+Eq3tqx3+aa3umSF2GDaaPA0d2aRujf0
ckZWBSd6YYMmCRWOyfKpJn9HGrBP1y6hPe0YtZHs6UMay5lNfztQiwqXNREJ5KXrwL3yvpnWCN+H
e1mT8jdQG95Lfcpv2qSCvpEKWTM4POcrG99wTdS3uQVzrY4u2LEAnQ9dYJBA+vDQ62nwpCdF+mSZ
7AEtCOpAneG13ECc8q5UItmtBLa/1/EqZlA3Y6EvEjLk+wWKvH3U9bWiliHiQ9x6HsnynPg7tphe
scsqM2i+iSx2GgxOSTshol8ImOV+T2woks/6YKdhdQdUQRwtq55OXlUbK6RlwbKle34I80ERt9cG
z0q6VzH91EBGwMHM6JQjmuFXWoeMbMBPkWOZ2N/SlGQBGusLJ5PPBq7K/aQ5gOmHUKyqTmvWpVCv
6MA/R45255b4pLywlyt6PnSsq0hfFi0uK11oFm4RhPocEa6i1MjWaRw88VrEpptcawmFvFsJ1Eng
oKIb0DPi2NjWi9GAthl7gh2DJElpyLs1iUEpDyYbPPJDJvzOAopPgXztEISV2OQUgEKSMA9u1N+E
k2V+IBwpJeZ8RCWJIqLe0PYjdEob1dJPOrFSxUQINwl5jotKFdy+eJk0c6RDrgDOeO7W823MfjJM
lqXMk2PO8HvVGmeNH9B/zNpG7kqyIw82/odjiC1k1QeEKCq3Zpkjf2QflY67oV6jliWdg+VkdZQS
aLyfco3ikJfE042t8+NiN8XNRsFDVmUNo6LEvPL+0fDtsVSathCzNNnB03tZmiVjhpZgB6+JQibH
Om10/EOt8KAvbHBmD5aecyJlL5WzZBNN9v7FOVtfnEqlCeiPRgzNAny7F3VhKKM1+elltDfGov6i
4jq/LqM0vHETgFvvX2rudf16AOY8Q7WKujkVb5TQFwfgKorlGGZcqsTrsuYbmSDbTEHx7f3rvG26
2XNfFgWpAUTZoBX664USGK1WnTjBvkPuugndeg4ngMWZ5lF7S0YGTcfeC/WIl569InnkRD0oGK0a
RngO137I3Z1v6b/1oz/Wj84j6r360ZcwCl7zX4tH5z/0d/EIk7rB9O39DdP5qXik/8fiBSOI/D8L
4N9GP0pOM93So80oOdfPTci/Xe+UnJD003ChEuRJBuK/6aycTe0/jWqT9i7fLl/uHNZg6ZdfL4rS
kRppgwsbPRodwT6AaLyr7T7a4vTNJeiKcMrwTM3ROk/RmJNRVE5hWS8ar0SuDrDXNFYTiw0oWzuG
4E+czrnd+UOl7vlUPak7NHXzh+b0RUHKRPAJToBHq88Yd/wUv34mbtMNwM5UfUWXY7w/C+0BbtPJ
7B39NGizPPf9D1NcmiS5pEX7iYABG6MGaKSLdjicRlFqnImvpOTM0rJDIgMGnsA2tiw8TYuk0qqd
gdroBbGLV42convHIjq76/2NHYRGsfediMqT6p1ZVMApSm3NFtegi0BeIFZFTR1SAnxMqaLhsvbz
4goNKH2dAINfT6C6j7ShqqtZQjZ2iFyDgZYMJx+k06niSG0ayn4lqxIZR1zNjGPMEXRgqXTTdh04
M+JqYBlHEMkbYbfbNl238cFDHicZmY+1IRgEnA7s11pkqJgtDR2NmoXmtVsgEUU+T893iGb9uTHf
OepGtAlnuYphEAayiJyG39bUeDY0Cga3wVnqPpqRixIW3tqLiVJK0YExq/CGCZU7OqveJxb38amu
YMigwNQ4V5pxaDRXZgEx4qSSwdE20plk+WyKjg52WzeMv6ChYa2xavb3RL6izxOpOX4s8XZqn4TZ
8uR+6LWnthgLhKsux8m+hgaw9KXGpdNyRvsRoMPdmTFulOWoZq+EBrA8vPVJSpKLos7REvwQlBAX
Y7/GA9aLbpLehx7+DIexwSAVporkXQjsHgJAU/GQoolT4EJabds8h0PelztL6Vm25jlSsLQjiNOL
iNUaoqLdVuphUgWvtTdt07hC/Y00Ws2vxJlsktiqKOH9lUhSPUqbBpFRrQYBAkv+MQwGdUfUUzjO
nJpxJwKoHCs8IUa7bgioThepZ3CXtXTgyZIgTNqTT4mQbHsDoeMwTo+yNduTZnujs8xiH0mnovT2
GsStfZymQH7QyMQ7DX2Z3grqKa/mYNHg11LLXUYEjrzmQdJ/LIWOhcBQDNlwIK6NHTZCLE7ePPEs
9ZPpYI6SEglIO0TOsmraOzNSnANtzMX04ohYxrERZbK+0XEYik1jQ9NBmNVVwlCLyXJDJVYxI9L8
MmQj7w7ggTV8n+KJQzL/mcXfyxHFTpQhavhhjKHebL82Zk6ZOpyF35M5v/k00egga6STYJMYFNYI
5RTlC0+Gj8uJcz7KpCzQtDe6VjbPZ2UGNGA+BA1Q3riLzNKU24TSz5VtEjG3IDWt3gU9WsZNPNez
sYFWuy5UNCVFPttJnIK2MRKvBO2ywdfmrUe4PNmS1CD0Hh3WIfwziVk/gq3RtA8a3OvqujVrrb6d
Ro87AfLI9Ktw33pPkaVnyb3fx/VuBAJeEZQixF711qz8P4ss6rblWY46uPa5UIBiq6RdsPOp3Y0b
i1klPJSVg1L9PJCTUePFoZ/hO5b9/FHQquWN4HlmDv1hIuoIa1vOqBP5PEKzNbFTekwUbmAkxZez
CyCULs4QN6WmRxRLEI87AtXq+BOZPkNAE7IL2q/Cd9vkY80MYZDV7iu7vilAX+ArHgPNxy6SQuNc
m4nB36QznA5N5fDO27TGItIq1E9u51fJNyhvJiFD5Kci4M904ghuMtYfVS3QBgYY0HLyYKElFlLX
96EpaP0jxEc6q0WB/olwaAzc4FNPudC9Z7vv/CWc5AeHjira0azonnAbQbptmxB5bYkGsgvCvUg9
Asx9P0oWWdQPQIKNyV6FTmbvtGZAmgBxCp/ExyCkXrCxSgIRwLWWk0+MEJUVOon6hxkXtRSZ/knL
Uce2HCEWyQSuNArRqO+MxAw+p43vfJt96AuYJ5wSU4mgpq44Q6b1eCcLQsZs0edrsoAtpF+NuHeJ
MPtkWBBqzVwP/CWQJzCarVPfekj7ITkmBBuYKkmPURmkT2YMOdTD5LtRGgV1DWjLMq8Dte6zobzp
U5Vd21bfrbvBSe9QIZafELqGD73F4dbRR3KSqobgn6kaoawW+baPioj8W5k+DZnVBJuaUvu1xwJG
GaNSh1Tzkg3gHwwQ1UBCPLYmpr1eFI8sOuVzbmdluIoVIR1upBcfKZLPjxZVKs14G+ugdLrxVMpR
ECvbZysSrZrvUe1gJ+nwUZsqDjZDaponO2gcawXWOZ9ImmI7sGpqs7+qmqzYumk1zdIlUeDFwXMb
2MZd7BflVif2aFXzG5/jBE3IYjR7uc8nKqvrKXO6U9Va/oNXhnKr0Tne2JonqQJoiqPXJGHchm11
xYQ97fQ8n/aDRoKFauH6Tk1dL1uTxFC8KfGODBL52Ee9+qpj5LmiTQKPNq+99A+noYujGPsTWvZz
b9AUs2bwcks0ZYHVenVLhLPMWcN+2O0Ytsxz+Wgy01g048USdQr/rROoOO7e3yJdSM24AaiQ/AMD
Es0wcp1f92RVkQk3nkN0wJTVuwRH/1IfEGnOoQeYi3RCrnymmT9c9eJkdr4qOY0uekADods52vUn
nSSENRT2g+1RfGMajwChopdoTTY57/+6i8Pm+TpI6bD6sN1Ey3ux/evDQnaNF/gHi7QLJnW9ZtGY
/UX22dH47y8GA8TgceLwfaPaM5hENArd3sGdTTjYdixMJTIlbw0x6/uXeruTpqnp8twYPcbbk20V
eE5Jioc8CDkZpzPIwMZdtWzcFgcMBoM/DNPfXG/uohsME6BfmJd/HSWGC+c7TzP7oMbQ//BjDcxD
nSXLzhu2Q3gSeLzv/8a3YwQpGB0cHMhUYmz94ppoOip9RCZLW4EeGYouUmqNofiRFfaP4tDfXgWt
NwJmWGKcTH79ZalvDuTbNfIQUK4lo2bOJXSn4f/xWzhQurYNh4Nxf3EVCVGvwtcvDx7Yi5WMiJYz
R/qF7z+x37wl2FpirqwwrTiXbymZgQNlBJQbEx5WuLOKvp8G/GyTj2WzLUe6FO9f8u30wZzOFMLP
okfPZX99fDl0mQmut3XQCp+6IFzFg9J7tiJdWnjr3J1wt8pmtse9f923HzZGebIhiH1GpP9mQHrm
ACqxtM1Dgrth7RPWctVKNO8qlu4fJO6/+YkMDpB17MEpYF/OVQ7wbC6VmYexJgx4yvBiq6bFVG0x
YJL5BDfOo+bf/z7J4oBY2ZYwf81fn2sPHFyEnjQO9OHrXZ5Zc7iQG2KNnQ8/71/rUh/NLOlRnbBB
CCF9cd9+aRSsXJ3P+UB0iwdoxshI/wV3lN6D9KlPIMkIVsTTOd6OA/u6gb1Wc+qrfvQ3FtHVHC4K
+zUNMB8A/8Hl6yqAXrduImkvv3+rb0c4lGGBqIbZnBy6S3U7lekB95PPCCfxWiwjPypf4jk/FmGg
xVCLPbb171/SeDtDeDq5ITqrI0hD15nv6ae1Kkipl2DmYYi7GntdeEecH8jqbb+69SyyDkt/Hu/g
609Vl1YvfW9jdBCRhyWkMSv6kgFB4Bt2SQS7Tga28Pdv8HfPhJmSsWKgsNdnHO3P96dXQG16l68+
w6B0inWSHIyAdOomJWp6MVT6n8o4b749CXKWr4FSDkMUP/SvF6zgE7DpnxQ2jtnyq8eIh6YqZ5iO
Jafx93/d7y5G3WhGXntMNZergKtMTyf/bSLDAW85pnLvWm9cTjm2XnJKev9ib141v8x1KdPpYt6L
XSqmoB0Z1Ob16SAhraPRwRwHw1qEnBLfv5AJOOTn0jRgMabLee0mh4YV9XJjkoowGqnsDyzgddjc
6pzhCPhCB5A8+RqRMldl3FMJsQLLvQ5hzY6cSBwBUTGdl8GiwtoSzXgHbeCwtGwMhRDLwYWta5JS
FlUvgSJpNggPVcLh+OzOb/PCI+r0/V/y9v3YuE1sCqaeLciNvPg6onwCfZc1zYGMWnc15B2kCtqX
20DHjf/+pd4MdGmjJ8c/QrIQJqbL5a0NdLPtx7A+1IiJ964JQon868rD2jtCHMjHP9YP59Xrp1Ir
AhHmQ7Cj/Btd4pu3lKtMGFVtWweEPNY3Kc3+UFtYss8FEek0VHWQF9hPxTiaf5jpzMshgn/HlELS
vUARKdgJoe//+bu2Ur+NLOK+Dwa88EyhbqHT3Gwx1Hdgxoi3dD9LI0ksosoao4FWCXIkFzVGDpQP
kCAI0Zru9S6jiqiSuV5T1c68r++QOi+UwziqMxiY246//9ZpJw1VPAZte+dhJkPlgfCtuLPjRn0g
kJ3lTmMx2E5tbZSHvp6ATJiyodk6jJTGGj+h7pdQOCKk8MxEcIPBTI62rmF30o0kuwM8HUMebTXi
NCJ5W0yGBvTSgVdMFTvHXuNUpn5NWVrPlw3ULG8RWnV53SaWQ7ZBWqphRd4LwEhYdIfBjebEydTu
EHcYIfEJi66K7Jbat94PxasA7lTwzRgxxaOuNFLj61C7CUVxDRbMEg7GXAyFQBfe9tPIf88962JP
JjBFb68GmbmTfcKhJK8U/1dVeOrOm88+wS2w8dJ5X1OVfGthntrTd6rl0TBHYmBGJ0oO0NoeS+8I
hwFP0y3+zbS4RlDSt3cNnmdM4aXD110YWZkQ8j6bIOuuRbxh6NgEEt10r4HeFMm9UxpwPBqdXwHu
w1bfhMw761hXxlyKGlJe86hH/EF+uv1qIwFUDyXtMG8NccW67nmaM2OE1v4GIQpuOjwDXJ46CJWr
Vs1gARe1EErtM02HXBzf+KwGkaNYjTvtYSQbRi2rRLFqeSjjKeGEqWjMm3zo7fYeFULYrBKGS3jL
cRFxqIHzt0QCDnWj7+vGSVZd22tLRXbisJIzKQfsJyMop8mOdsQZIufagj4z7H8wX2Af9NEJ3yI1
LbfsGrLsU46QCzPyqDIGZAfWj0ZuI4pyI4xJxxz6pnnCFM/acN4HULOHyKECSakhlAV1M0M6YroC
RDiCQFSo0b97uLpvXdUjMj2X4EDPcDMiHLFIxiZGKj9Exd8gMSHi8fxZkaxBqsD8zQyOiN3X3I4o
vQ32ZDyi7w+jHdVeavNmazGN1/A/mm3lSg5GYWrzpsxmrpmLuOk+TwQk9psxog7/ozWDB+zVt8W8
kUDoRz2OHjb+g3iuxNaU5+GNc/wZDZ0K/Hn5c2RHkTGkduVc4wkA70Yg5xhvCjfRm6vMC/hMs1Kj
05BOFg+WvD9wOWAdg+iuyStuxEBBVW/K1Gzuc2B+46dudASSL6I2k+TeLTxMlfaYGo8SFLK17Go/
mr65Gp2MdexWpnU3GSVV4HBibyz4/gYHIaBNGwAgS0i1gLFi0c1J+IJb4XxkY451bmGDqC3FIo1w
BcQL31dZtJwpeCia6oZq/UQOwxzwnSuXikCM5jfT9ZFSGxXydk5oVR2ItB8r/n/7pH/ok0KhMFlf
/7lP+tS+hj/3SP/6Az+bz2ydvZI+H5vFDB/9yXym0+BnT6ATqKdbnKf+7pESj8DKPRcs/rc5eg4o
0dnfUc61WWbNf9UcPWdA/7RiE65AIAJGaXYAFr3Yy3paQSh5WEzudEQYDmNh6Q7lNG0yick4mw9R
8DhnYE0ARwRdCQeWaSKlfv4azzvYuqLAQBAps8l8rjzTw8Jpsm8zJmK4GEU6EvMJYxWAco+oNpOW
PwB/nmApLDuiETzrKfRHLyt3JEvFCHgHAkwXeuprN15m9dkBSjOHrCU7nMKF9O3g2dwN7HvHfh84
nRH59Bup7h/YklT9Q9nzkB+0vHBMeEyQ0dZBPBCNxbO0BJIJnF06lwXOUs6a8swMSDcmPwviQIb0
mX5rdPKzjHOjYyqxHOhfPuaZGT6qthA7flSBQqfTPrPDjB7d2KI1AWspvkPEdGrHutqjF4N+UPjd
q2fo0YIPlVB7KJZIXWkgL72iB0vCeqrIoD/EASlJoJfp/CF+GAagH1fkpMwBBkSKjaeQppO2JzZs
xv7Ai54e6It1JB6AEaMo7FOBN52tiYyy2/Y/UhIMyuPGrIZP+ioZ72WqR/WxJPAw5y2gGJ0Nfudh
/t8Z4Q8zgkkxhU/1n2eEEyFFh2918236eV7464/9NS844j9oIGDhYPj8m4T817wAMBE/CudnU3cw
YfOd/++0gPEUggj7XdszqUbPk8nfUET3P7MLh+QUSAwcyyhd/AtTqhD8oF829J6O+M9GwYEt1aGe
c3F0NSv6woLm3c7rNeSj0OHBw7LCJ1f03O2rUUd79xDYDX4THT8n9MK8vQtLohq3SWzQmqnrPs0W
6Ajpq/udWPgdvhGzHOFdBL4V3aGF1bezdnUReFW8VKM2nILEQCRnkD72OJq5/Szz/jU1pmXAX/XY
V7790MLmv2tq77EoAwQKORL0RSFTv5mbYA2BHrE6dsPsenFj17hvJMrUtmwBfNB4oy8K+uQ+z4fk
0NQ9suDM5fOcZWNkARAObjvjKRuLZmaSG/e+MrV1RkPze2PWhY4EjaDgRZ+hCKYfCu0CaTXGmp5W
tBqYqZTVxIvzgzrXumon/Mz7J/ocZywSeqMHH4sQ0t0yt3vFMs66vUpia+kIZNuLxh4acwXCaGIy
BOjofQTGQOZ2nrr6s5NhEZIlDkTb9JhNdfKj26Gp973WcXUDHxBeRwSeTdR6NJoL0YGy9Wp7gdLb
RBLfCAUQwyWM0SwD7aXrBILfljbtQnbCuK7dxtO3szsVcB1oKhR5nfFcZ7PIIhlRJ6McDMcbt0y1
7yocvOUoKh8P5Bh+1dKGHhaF3O35/pr5rhjZNbHM/Htvpi0vI4fctnQkXoyNXnf5tuumfglFS22i
gofcuCio0YDMpiEQB9eBa7DBXnRtkgzX7CjDkP6ukaidJF5SbEKbdvpWKIG1NyaCZpFrRXJQVrHv
a4sM6Tbuu00bBeZzqZFStDHKydW3DBW169qMseCWySEGvb/i6hFKysaO1pZj2w+IFNIPNTqLB1RA
03NVhs21SwDFY0zhaBMi7pUrasfikNPzvfIrK/wYT/NWDZXHlQYcaUnGNLyKpLWjZV/wI2MFo9mG
rJhvqeBjXrGrdlgAlZGLkTDTF0WA9da1Gm9LeIT4PkjBqQBST0bSM0xR4jfMOEo2Xqy34SlJC/4u
DwrgRhbSHMylJVB+0n6syc4EWJE0937mTcdIDclSoGlZqVb3j5lE+MRaPrhbo/WMTQ2Y7UPauck2
czkLLBIZ0q8b2yhzt8QONA/ErT/bbdpdZ+C7WJCmeDnHOoTEMbBZgNyUHrPAVy31FCk3kavIxXaI
G0QEiaoUnh0Chs6tbwiqKW4bqbK7RhM4yaYJK0pkGYcuIObMMKtgTcKetVOObNck9aoDkn0oSQki
/uWQ2uJphKWyAI6GOhl5EB/qiFPbokW1hMEaMagGP9nkVDvWZtFaHD38mHMsjtNtVYrm2CHYvqEQ
mVwBc7ZvQYuZ6x4S0HxGafA4B6g3YqAwnnWdcjLpVsOoO8+90qKjbxjBl6mOY7yVqGvgrqxUOfvn
2EsNlH7hdBDrwDETu7vuvCpEUe5Ki2uyOYIiqx4qTy/j9dAbIbCiHvKaluTqCROEDtC5Ck+9KGta
AGWBYMSetmblkI+GoaRoFzivydPIUQ0RDpmSfGLSZV2jDEJuPDBREPabDvqql3K6Gnxyl0La/h89
fr/gEAOdaV9mhdOspArqQ4d6Hh+anI8/g5vAO5vPZAu96vA3hg6kOocMw2WdstmRuBBhZKRY7cw6
A+vRxiTW9nXEziw2STwWEslA7fXjNgSiuRym7JVTebWuo8ncFz7m+2LqSC1PgHIusHiTTj+MbH+c
PG1LJL6qJu4pSQ5OTgsCAo66M2XPrNTIzn85zyxV0vrfPWC6h7TgC0XzZZALMn9FpWTSGhVzVE3E
40pqOtNqbxZs6vBS4kAoZL4lIKTeQ81mA9hSWLk37PlCbViPK4T33EkKoeQ46Ah+FuHspT6x2k+n
pkaauioKhayow4FaU+b60T/773bpD9slAodcKnL/vF26LrqoiV4vCR7nP/W30tQF0yGpnFqCNjwI
abo8f+2WPAu4Bx08jkTSEBCc+V9/naIEkRImVA2UpAS/0QVjk/PXdsnkL6TvTL0SHgeHKu9f5aWL
i3K4QUMBUQIMY4car2NfdluAmg341mY+fO6zegJdMO71sMLp0Eflpqhit13YmEI/N5rjP4IjrPdT
lvsHrY58tiIm81jqGNcFcvsty1S/NHuDD8h1E+3RJSpx5YQlaxSuEm9pEAJ3Y+Ra9y2uTYMUgyD9
QLmpJY+d3UwQZv6x0K1wHu9Ov6LMRq0p0Gucf5mmZta6fOjQYp5+emW3Pw6OP3O3LkrOPAGLg7Jl
8xh4plRhf63BxhMgj6Ivy/1YG+Mt4ApvG0wdx7e2nX8X9/3+9S6q6efrEe/JFlhHJ0wo8a/XA7eq
jzgcSoQptUBilX4O1NDT5+IZvH+li53wfCVH0NBHAQbr5Y3wRHXSULM6YT/4FfNRjAGI1V7busKP
HhAcWtuJYLj79y/6m5+H2MNhG89ggrQ7//+fWmmxbjYD7NB0zz4Iy7A2b54bHSnoqhtt9lb//mq2
RcApG31LOpdN98BzCS/KYoKB9cGmVAhodzPK2hhuutR7fP9axnxy+KnwMD9PWOtcxKFdMPfGfv1p
AIbTMKMQt6/CMQXhGPpNiqIzK4BgooUMJzaaXd0Z1wPY4Z1KnbZE58rS//59vH3CtMggDVg6rVzA
KhcDNsVJPmWdiPdVl1BTG3FNrnAR+4+exHj8h4u9HUM29RwO2XSxftMIrCsvFW0tWZcNpe4Kt25W
rcYXXIZlEu6nJiJY0cm9xP3DdX/3IwHyErFEU9Ah9vbXZ41UEfOZLOM9znAWPJCWj4Po5sNChD31
Xz3Qs9DfAqOgM6nOFa2La1mRxhEn9LDvQGxdgR0l4KnkHHAVAOB+ev9aF/PtD1MBxCbLch2dANGL
lxdnrdRqjTGkJjUYq8J3skMacRRbvX+dCzTTj+sI6SJrOA9X89fn18m0qWUxRntft/uYHPeYH4Wl
zlygS7UfwijKqLpSrkX2PgPA13oWhD+iaP9Rd3MxduZ74BTOREf5ffYDXZzE+8lIwFO03EPfBKvS
6CvggUoLjr6YqJIFrs3uSUx/mM/Pj/Cnz3S+7Kw3o61GKx+zzsXr7APZFwpFP6ldvvhYxzI7UEmc
TmWch9talMgdWw1gDfD5EfSAP3Ck2w9gJ74aMq3qLxxWs0Pi5/4u0LXsAF+ef6lYu3v/Df3uPjk4
sTVAlYc6Q148noSg9oEenbZDuCE/T1Nn1cu+SrEv+qkcJCC9uHTYqGsOBs1iSI5IajE3idz3911S
WFdeizV+hLh5mo2QzkaihYtXBRSKfvv+vb4dtS6KI1SMKMRcKS9vVYfdUEBTivaZp1MhSQIYUcu8
adr1+9e5+Op5dRSTeWWowWbB5OXaGGl42nytAV00b7A9hOjRghgH+yptLPvh/WtdTufni80VqVmy
hbjzslA04ZxvcIQynVMcwr7u9yvQ7t0y5VPZ+FQblgjXpyuDzsmLluXBlopp+4cHa+hnwcGvwxXb
IvWyubeOoOuSJ5nWpWbyZfg7B0XxtHdSk8m09UZ8xkFX4iHAi/TZhnK5jKKO2s1Elm7Afye1S7lF
t6+aoPcPHoWJ27b3TOi3VcypqErBeCxNusrHNKTYFUaVea9S4X/vxy79gE1OHRXi5WGBa1Q+ONWY
oLhx7au+1plwm4wjyNkqCBsfiIwBPirEk9ut9DLSHsFWq7sp8Of6Sh72N1mtt6+pP+mfydX1j41W
TrhDx9z/TiXGpheYYY5Z4Lbwd6qBTr2JnZCaiXDA4i6ogVj6gphB6xVMlvEl7zLxNOD1rIAf9BkU
/9G3vqd9aw2rDBgU3GY3Do+B4Mu2bKYWo+6jz13I5E1EsP09KDTXXOYZ20Zc0joZvjhjgg5LtrS2
g4WaZpU7Y/PVdTpzncOne3ErWsf35IEy3vj6gwRsrcflS3zPd65JjxOjfue8KMu3V2AJgqMz/9nG
LrgNnCDWuoqGZgCGmmqPXiGmI+tM+qGqpuHm/Hh9OVAmQH91VwpIK4dCOWm4941AAhvQs/AIhCrr
1pX6H/bOYzlyJc3S7zJ7XINwqMVsIEIxgiKouYGRzExo7ZBP3x9YVTNVZd3W1vvepNm1vEkRgXD/
xTnfSbImZHzKaTVoy00nV06oH9tMVYOm9WuVLaFfFBoDobThtVugWtHXqmryJOZUvA4Q1hRg+Wp1
TyCxXeHn5+ug1kgulmxirNZ2+tWp7oTaq+uWeO/iaSHw0ORSyGLDeHYqKL2eovPaloaefhGnCImj
q8UnvDjUGHxois6L0nJ9ABE3S1/mLGZZA8x3WGsIEmYmm34UluRo2jpebVFFERrbc1iS7ADiEnsD
GRCOZMQzg/gI0Pavu2ok7A7jMdPCeFpgCUW0XuRJ9uP6UJqKqkI0os4Zkp5wsYxfoPfKbGJ60/OA
hWqfNJ/JRiSpZ4en18wF/KIomWsMH3QMllkrT9h6ecHUWCyXWMFXDG8gdMnrDGaM4XcYZ9qdzGzt
gHGnDgnDxL+r1N0DotH0qG4W32kz+6ab7dfSMQBrRrWeBkA/B4R30VMs7bDeDMPtZh1eNhNxtNmJ
y9XeE7fQ+C2Rqnt1Mx0TNYUvGB+yuhmSlRxrsrqZlHV6Pl/bjMvuZmEWP25mXlX9xcXhnG5W50yD
sbOZn6chqU8syhgGKEPj5ZtJut3s0sVmnAYtXwTLZqbWN1u1xF/d2djE8RHekVbteONozAHAOAJU
NmO22abPVoRVfdlM2wXubXXITfTaGLpztySpejN5J5BfAnczfqducu1xgruN/tls1vBMKY1gsUiw
1VeM40wv31qgs7jHjabwl9nhVhsa/aPEcw4CSWP8QXrdZkfPBSr8MbqpKzt+k42+kpG2YF4vSg5g
sdVIpb7cWqlhQGrv2wdWRf1J2Szw62qdc7tFneRhM7I3lzyHCJ75Vs2bw6LVGWjEaIxab9kM9hrI
K82LoJicB7PgB6oLJIHk2ejrs7myP5+xLg6hJPjwRmpae0ehJJJgwhQV5Cgln7tmiZ9hbk+Pyw8A
oO4b8LtIZpZLjiMmjErL3pEh7PzKyrQ7zvAgj+hWSr4pVfSli9WrY07T1WaaGBrrMITb/WOCE9jo
BGnTlvc98eG+zSetOAoFbbin53Xkd9ANYrxw3IUVxAPrB34gqok9YMSNYCMVPzQZrc/A8xeUGzkB
SI/YDz84ha7Ry7telS82XsRAm9LxVvwAGOKidrJA/oAZzEwvmQNDayC80LwnoaDH1zfErzKLpxsD
vIPcOA/ZBPDM053J/SCapoce+AOFGDc+ROV2ycn4gUboGz9iHUsezIzagRahUB6KpbNDAIpv1cae
UEs5vg+icv4Qc0+2sFVp+pNemvbr/IOuUDeKxTKAuYrqgXqsIvWgWVfwLtjEHki9WhgT1+hQNioG
HbR7cGcNVEajDd3vBtJNCE10ObXSuNgbW8P9wWwIVzsL060oYWBwDHYBjeMHzBEZkUHzv+E6NDQZ
T0qqMH2QhXviTXUfZ3NYAy5hYB+VMorv+YcAIhWmBuiCAqdu9QCXehj9IENI3zD3OCOLnbURRVAy
ied86ev7WPaGV0ZadowyGCS8gmlglKPfIo/ZjxuphLneBfux6jMN1+/jtjAPJsqks7sxTrpmNR8j
DIJB6Uz1vkCzvCtWsFOD5FfioMEp3G/MFCwC8FPyDaWSIG3FLzZpvRf3Eakd6mzcDht+hVQuyn7X
qC2CdjY+y/LDakkzyKRFXtnvZm4xxNmgLrNiOnUQRaIACQH1RdKOn+VGgpE/UBjjBxDDmJg7nRCk
jmzt0bylY2/2eWnbNABafWIfJvl0wWedsrK4byxT3jn9jDUSeavrp7Bqyg1aM234mnED2aCBjC7Z
UDl7EY/lVw79zApJ/mxfRWxucluAOO4PG6fZMDnKBsxpsqJ7sfvmo+RLh11bi8J3WWNgnIjW8VMF
vDRxCADgiZuNxeNoYHnapDIDQer2Dbk2qU86aMg7noZ5iatRcZsgxfUPTtw1+rAimuVib/QfsgpH
3BKZEjgud2CbGIjnNlSQYFh9r6lj/5V1OCyztuDW4BDAlSr9Udhtbj7DKa3s/tsCMC48FWVj8idR
lhayGpGsfLBlRZsklT9kE1WX2Wz023Qyh2cljsYv0aXOezy4HfspqGssQFTQDlx7S1nY4J2rsjoo
lsDbqWcuiwprfF2klt6q8OsCxRkLMDttVhPbnWs+VVR8u+iLjaOvZaqht9HRRARh8FPJ+SCqTL2g
USwwjk3cGTWZC8QxDYNlUV3WyZak0M4HDRrUSevKZggQSNUcZ8saP5I7oC/+bOrDERsr14jGdIjn
siAXB1IKoQqFq8LFqHnfuBT2htrIU0MQ7XdDb0SHkRRBpZS8Cp2TfkRYRpHDUuJcErvR4ZTo3XzA
qU+YCAKWT0VvlD+6NUznyFniJ7NaMx8JhoYacXafNZYuOBHN7iNqREo5qRIj3qfPFMbwiCKWNUne
Xi3jJY5XiHCst+jDIh6q8gX7GnF4jnK1R9i4mV1hJgb0IfDJel0lFx9WaenNFCeBbSfExOPc8xx6
bITFW8rMnH7lLCkq0l50cu4SWXNVxgd9VvTdYE2/MVG6e3p54bckJOxy1DV+XloEkBCvq4GEQQYx
7JzYjYGY6kpgRzzO+Ho1iGblfli1TxIoLS+pB2evLy2qiXIp9kKm82Nr6Ymv49m4ZNX4h2BPw2tR
a3jWOOoncCVq2DPNAgG3FCTPMB7Q53EhQq8b9k0i1a9cknNKj8+tQyF0EkMtwt5NSVmaZH/GEpyd
c23e5xaZLAYFF4uV2QrkNN9NlqqhDputg0l2gK+SfERr0uAQJGgIO0F0P6O3IYYYYpIj+9+yU+qw
QRi91yyyg8rW/cAmXe66pbHA2DM7WGPwzVP/MBjKZ2qJHVANknwhflVlfyqV9n0q17shj06ytp6b
Lrpw5DIwIr33xurWP+SIvQAFvSJj2TdU036VFZ+umk57YpUz9rfuFzrd3l+7eAhcRUPzW2yw4Fr/
ml2NwkqJOeQT/VhYnQwQM+wy4oTmxCZjKLa+y9FtPL1kqu2ZCh1BPA3w34z1ewZeZmWDvmvtAgXp
4i7xq9r08ep1bJROKGCJ0FoWD8emsdfYUbbp2zzOPSvf5Gy2z6ozDk+tgwg66dNHwnuSgz256BTa
cXhT9M4JZ0zdB7ac3XkYiKwhbXb7mC/qySSV940ovWqflq3lBH0ydce0tRiPTtnWTthuMu/rSaOE
TjsUCatmrWc5mkq3Q5B+JR3T/aXi71dOSlMw0PFyt2cjrW+sshsUez37/zZBZVkQpsrX09s8+1wY
OpPwlGmRPMal5Im2pxw2BVNNkUn2cQUawD5GSZhTDx1QEdjKrRwkqSk9XDbCbODbe1Y/0XJuKoxu
0KN3hyRVcPy4tT2+KysGkrdoRHSHRirQnZq2KOaxH4Ka44U507bTWGp2cwMq3TBC+7urat28gfUz
37bccS84dJeLIth36wCNQrm0lnqbKWY6htJdaDsGm2Np2lZvlbZ1J1o6j7+zVZ/uMmvRzkie1x1y
4PyU5FP0HhNuawYxUuar1psyRCFKJxKvo/pV18i/QCBuMgHDlfXiJ2bTv7YIZAOnUCxW/JrRHant
+dKKVSlhUtOgB+YSr7sf3pU6WfLDKogASjvKP08kzb3ZrciRR5jKm6IEtReahRw1R9ob0YlUAYYC
YBguzmAzI9g2NT/fb2yEEi41fKvIMtjZ5MW4xxtTvv38Ly4O7atqQQhiLe/uURasB91ALNKXkh5s
7nSmBI4x3U0rZY9Cs8muZ62sRzfnxcSOhscZ+y1CVQbFMOFZo8w4FYec/9xM6CoW78TdKy4/Ypmg
ZiE6DlpqafavdSr5BdKMr8g5glaGwQsr90J7K5EEU9rniDIiiIHHzqzm+3ym3l3hrx5W3A8X8CeL
xFzP7yVKZuGNSdvXjklTk1SetXtKNXr7YSjwKCPwnnIvXZmKMLzkMBgQzEZq5wa1GM32mEcAIXj+
1VU5u3XcfDL8S/dqnjFRdNYbt+t6BLaFKxnJtCTueVW81jscxhO7+Faqt6Y2mTd1trIhW02GV9GK
amN77hR4ITtsTArlvyxeiq5YHxLZQyAd5y3zZcBo9EdBtsBQhDbroRi216QY2LJp/Cfv1Xxb2yMv
G0NKX2jNetErrdqzb/77+tdeouluLSZWx+Aod5bgCZBiS7pz0UE/FEVmPQI2U0LQXQ7vEJIhaeNS
nAlbeyvVjZBeCXQw25YbchWvlmbNPLA4YpfLyBcKFzLBzKCdFPUt0UyRBYjO3T2ZR9o1USivNVgN
fCK3hl9T9OjPqgmGShlPk4EUJdgk3J+MEisDyZA+Pkt91s6uNkWnEVL4J3gbdJpE3sMrSPgIkwzE
bnKS0SlCyfiZE/ECdmNWkOD3Y6GOXldE2pXmgN+wIodtIJo7zqmAYQfv3QpJDn1L9yrd7eUtIfie
BtwF4CFr/TrlMqPS4gfX+zz5RTZJ89nCEmu4yvvxVMglOkpGrugBHKX/hNDrxyoTOdny79wuzW84
fL8Gsx/9BMad18jmu1Id13dZ5u37Ed6zKnl3pIz4sM98AqMBiGtfVu5ebiquuLaIRWMEfmmA9793
iM1Nf7VW7QannXZXGVYE4m0jkkg6HzOARuHuVUR5vcdaFL7z9hRMYFXOZmMyUsD+N/q5I+kJJ7CP
J8te1S+Qc80nq0il9tnF8pmuOzMKarrT3aByPrqCVyq2YuVpIzMCzG/4hV25PYOdig7INnGOI0nC
9uEYy3pQ7MEJbMeGBehYyfjbseiTAfhq81tfp/PHjFFN9XoK8o5RahOHCWUFN2OTtWetHyuyUeXw
lKqT86vBXfYnrWf3NJpJsXjxxM0kUiCoi2kvEFyALRxHt43eM8tEjNV3RhcBf2DAHZAnWi9/Gz//
r9DhvxM6bJypf5qeB5/y8+/g9dvP8vf//T83KIWG7/xfVKHa3/7RP3QO2l/sMf4fTovB/t9VDo77
FxElglnFj/GUBcL/Vzm4f2kouNm7qZigdE1lifUPUaj1F8Jy7JioEtBJbf/qfyAK/Xd/Jy5G9tGs
MJmHYagFTPev2zA+YkmH1Cs+0VZKENaGZj9MGpcrgSJyn7Y2T6D6RabIfGxaIRBJ1Y57RRYgD50N
GdZotXavypQr8J9exv9EfIDIkW/9z+N/9g8m2m8igBEhaOq/j/8hwy7kizjW0R4BEN+5bq7eOStN
jJdhgs09bagfUwDjIkzhbsrYcLkaoLGWsztEv5yq0rgpTaftwmaxS/t1JbLidknaSfoi6bX3Mkkk
qR3FiGRxHS2FdEhmPepd2ZtOrwQCt5ZzmPJoDQQSOMk4tphETp8n7Lx7Tgi0YKaqMGuliy7aq8PO
ewkEs8Ryk4UBQmDhHdIU0jEjbm2dIemG0CVp6Z5acnh2a8jBE2iskTRSvYg9Cs/2q1xK9Soioyao
gfo3I1hlQ2Y7uTlruzHSk+IkjbrIdyna8wLtniEeqm0Mxwh2V3XRyxzFCpzmtTu1caahyjT6b6JW
OhT45hxYWX+jxTVcYquHJJ7O95o7L3u7H+RNxN1ympVRAUu+th0CyMy6bYWxnKs4ATOa5UxUB62+
Mn57V/HzgKfp6xp/XZG86VHESk4dzAnybK08rEPuzhyrSw98a5zPsb0+qkNc3HXLkHrz6la2B4WG
9BH0MOILaT0XB9JM0vZMgdrPUFPrqjp5c0WFbPhl5KAyHFc7GX0DgunFqIreeM5iEKUzPiFUiW0o
lohWghDYp0VVGQkmOLnwmZrIMMtq19iQtn2tszDsGaoVrhUT7dmI2CqAS/WMTfI2I907ilWC1Wlj
64FXvb3Bd9ixlCnUU6wZ7om1vHNK2GHEQVSpxVsjtf6ptuvsTzthTPDzQWke6Z7XW6PS57Mxqvav
mJT5nYBSG5Ytvz0Vp/SLZQQdlNaIRnndxW5tp5m1ChmXnzmPvYcudfYlT5pHbP10Ve1xuiW2Ybwx
p34IC5G6e9EmRSgVenKAAAa/kDSuCVcctxeZBDEKPx5pIlGi3TTmTAVXgiPf0JoLX5kLxYscdwhN
WGCfeoycsMyW5TfqzejSlokInHnuDgLI3uTLLLPee53yxo/sRDsCncmIcZuMJaG4tqtlT24Cfg/b
7HvH09vS1n1Q2kXtIdJagiIu6OgYeStPJm4+SnSloFRBVHQDkq82w5nX8Tjaa8fmAof4Oc6tiu5x
4tUjl3zF6piFWT8mWLpIzfUqJxLf5SQmIibBEzytU7MBfDZGbLO22C7NLNqR4h75xGFvny7Cg4UX
ExY87kciZopAJ9zxwa7U1EStXlvHXHbPbjKtX/a4ziGcLXF0rW0KZC0uccaaUt9yEk7vY4Ikymsc
a1G9klmIFuT0hkTITCh+QTl39gdaMRiuZkun6dXEU4y3RtnAINTWic7ddWy8paNMyvNS28ia3WUc
j3VMvE8AxLslE4re7c6EBNV5I6XFXV/AVLc6uG4eMWgwCxcURHeM0Zr9pJNh7ZHOVCu7rteISW26
1bq1OA5uSsS/FM1RUb5Esmqv6WDIOpyRI1+idmrPSsvaOrCNVr1Lnax+spFsF4E2kAij1vy9xTPq
hp22JKcR7NVl0pPkPtWn/LkpterJMaXmowUrg7KZ8pDjmcOXVIP8O4sJLfJg2mBtVYzOugeOUihv
jcEgmlzn1r3qhM2loY2qgjel6axuBx/M/d2tRnuCLzG9x04C8nvRxqsmx/bADiBgnKR0XjzUyUGF
esdspE3ETeKOGQ302D2aRr3iqtOs5GFT7LzWY5le8SWV2gFsYHwP/KFBKrPIHPSInfQf9aJWpSe0
itOhW7KC8TT7KVYSZDeZ2jxe6ODH2otpVxJvMZxNv7xImKUETuSBOfZ8uyKW4x/Od/fqKglZEbbV
f1jQowo/dtX1LDibd9mCGqnL9TlsJ7MNORvmI0v06G3MR40/eOg45/mQ54DqINTDmfGGNVF8Vy31
ymfdYZ+12HSh9yx6su1atfbkzhNOKeiXA4MG8pa3t+2gOMlNqXYKEntY6WgN7ZBhw3dmqFMwObCj
83Y2XmDsNUfEE/a9ayTMLIzyW297timumRt3RCefs4ijfzWLc7w40ffc10fXBs9smcrsx1rJRFet
mrBhWHy74ATfi1phgLGuM7ZYPujCm1JnujVZBvm6Tgw0CYO6N3T8kTqq8pFNefvQ6cZ8I8yWAXTf
JNU7e4fxezQKTNSGaQddWc+E/9FBFMoPrq01DV8sdsrRkdmjEy5JlJyJJkMlzHUKUdNpiQMwjcQ2
fK1fbREOi7KIYCo719gtnZLWwbwO6ouVSVmFrdXmX0KSCRMubmXMdDqxHgUZgK+VqZvcEpiYXX1W
hIKseAxSPLzDqHbvaZ/kLwhVebuST0Vk452iivy6qNZjPkfmPsvKuAwNQf7YNqGF3pwynfA0Cq+7
iO7xSIlVfyx1JHdyUEo0zCrvV6RmC4ngRlZ9GGZb8jXT8ZeuVTmxYZHYLtGuvDhtr517jjM+Rf2y
+kxP9NGj7qKBKMiL4gGx9fwT0NV7r2hAChfkrT580eaUOZFiY9pzFEHsxBwl/lDQA6KcacvrlKgS
xkm2PBDImD7ODH+NwOo1A/5ioSs7HBXX2J24rE3HvCSs9QPEHrp+3mI/zMCd+773wSuSYm+WIg7x
v45BlC3295TN7ZfjtszwulVxT7bop63ANPUuJJPHDRdtlcLrcPQdncyyayj5g3XGzLEKDyjyoHsz
/MIWwmE2nknrZYwPUJKBTlcJy2Q7m3WvesYE7mE0RMlOj0v/gU/tSnYAz0AUunVhncAOchNgqKja
Q97yeqL4ipKIq1VQf9WF4TzOM7FrdWsr8AGyxbpxSJWbvcQ1mr2DESm7dOg1gc6hSLvdrHwvjKLb
q2ZM9kcbOdm+tuJOejlIim+hRcTtEIBW7du+m8kDi0sGy4m2cmW0KDsYNzbavZ6i6T05Teri6rab
P26lCuLsVca4BHgV6rYlUrzeGCw1mAfWJ8xpnUWvrb8V2f/b1v03bZ1O74Tu77/Wr1/Sqvrd1/Lz
X9x+f/tX/+jr3L/gTBkM+nDd0vKptG//0K/bf+nGFj3psGIx6WL4Xv9wAbt/IXfnFBPsXWA32Uhl
/97ZCYPOzmVGAdZpa8j+h6Rkmrd/baBUF4Ez+mFMh/yAKl3kv/V2zERKKSr1plKVOiEvjtRMJZg1
9Hup1OYmzAVVAdcbS+odgyPNCK1GGr/nucA+VwIrBzS79Jd5iYRbey1GvNd5LYRgWQBeJZh67St2
9Pi5JJrGR5Rqvo5CSMIaYnnP3lmJsIJlJozvRLERr/CX/mjNbrNXsiQ/dDKrbuwM21s5mw9FJ40v
ZRLRcqP2LXEaSNPlecxcUT0beTTY537dkisGFIDcRwIn46/sh96s9zNwXCYrLvuSdeknOpJ+CYxO
NXxuhOF9yoivn70BwdQlN1Jzg4GUdrPLeW8fY2oki90eKqKwKaL0WUsWbMTJxCqrY+NrHTls+l92
V7ePlhj0Y08fsdfn7FcBmCckZ4x8aRXYOsIRXd9nevq05EZ+b2UgjA/8L8ZlsbOoDJBnpQdZoRn2
OkRFodSUT4IeuGtUOP7HrrchRVSuEbYoI3F2ORykeHlaM1zhTF3pOMzL6G6ZPXKwteNAvQv2a3Wj
l7V07MdmU9p0ctGdYxdJQ+E6a8xikweCZrC7KHsbpy4JFUNng2bZNq8BJ3M7zNXJ4qBkj2RDwh7K
iYhCanXg0Msy3bB7iB0OsSYJ7dRarwRyiVQlwx48a65ZOehVcHEkWR4WNEcV068FwYaI2mznYPk8
CCQqb82KqpU2Rlmf3MIuBL36ZKcHgRSmeEk7Z6ieY4SPbNwGIBuzEk6oC/p+Dxx1UftjEpvUakjZ
zVT7ZDfakVhps6g1zQKTei98vW3E7WpGE/1bRDI5w7Ej8Mqrk0QW01yqjDyvCVBNTZaPglvPTzDr
eUBHaFeKVcHH1Zv6FBZrNPrdjGimUuynfDYDPNZIDbuLuRCruFKr2Wm9SUSwu5v5XsxldMLuuqtA
0zwrSvIwMz4hJJ2fMF5nXFnj8o78nk2FnUa7aFwewWn2x7ZLknC12uzclgonPoGOOxm1+slVAD7k
vUZ2l0JpX6JbY69Y1LvJqdMbpVjWo9ry0dStQn92F/2jksiUWi22vSyRii9wSRIHaUvJfovCk/Lj
qwMncupSEd+0qFZQBpVqiFxnDz+X3JpmYFdLbQhhOEhLpfLjVqEZbjQawjhJfptr+2bPYJdd8KOe
1apoF4H9O74qnClwhyU+V1viB1U+mZ7Z+ihTblEN3wwyJpN7t8u0e3767CYzF0r4CNDmUTMMZPJF
s7AzJD/L5sN2oExASoTtko2BxNHSIm83H1uDHEwnPa9aBJhmwDSmr08pAVC12lNR0BezcT1CKmL9
qC7gAXj1YyvxnVE89227d5b5kunKTHk7zLuuKWQ4Rit6j0i8WAbcblJzcQaXxe9CqKzMqomYnyIZ
HlOlouTSNB9TZ++10uQQTJ2LaBggZ+UMStZxNVZs4EDUIYFuO3cVdORx4tlqeq3i/bD2LKkJYUnc
4eB0xfcK7cBrcTadLI7L09CBzJ0jI7tNXJkdBsBqAZ8K7YEAj4cx60OUmoFDSPLtzG7ws9hOs3yI
bLI+KFQJ+tTFNdVb61Q3zO14w2CazI37brfJm6r08Ez0+Q/TAFR7THf8PiXyzSIDwjchF5+GhYFB
z7H+IDGnsouz3GOe2dfI6h5Ymao7jglUJsz9bL/PLfnKuTIE+mhHo9cYMrvNdFYvrczlXuWN2ql1
O4C0NZOrMc/upZtV8OaKRDlSvvcx2j2YvHf0YyQAQYTAJWvTzvZ4uStOF3QB0aBmu8xgPWGSivSZ
iPQ2NxJuhzYiDUdji5LJp6LKrZ1ertEj2fGXRmk7f9Zk9gzX/tmM3dQrlPGzX903K9aP6BlQ72hD
syuLgmpOn3Y9K97ayvaunjGxz1pxS2RNuyd557ti1hiyNuwPqtSfmsjOeYBz9nNlUjByaSf1NtGM
6+A256JPXgg9Ipi8WFmBC0zRfRPS+H2g74G9LJgBbWdpozj3Tm/s+zSbrzNvXemRLd76HKPORx7F
2lthOlbQGTYfNQUpItaui72MbLnxUjq63JmIn29wmDgeRo8UbraLeiRfCmdfzMN6TGp5kE12IlA2
30vYEPSdCinDo8I+ly50jVzbcyYSyUh2GcS3oOnnwEYCfEtMk3ggMZnod7trL8WwKcqmEZVBZiZf
zWzROujDeU7pBaupeNbEeKii+uKi6AuMzHVDvZOPIyDENrXL7xF/rOssb3S2RUj6rs8uus59vPfp
zbgYR9Qv2k4kEdrjmL0pOWSiGFlTo3mg2dVuzNQkoFgxFq8fYuMdWVtzBR+XV54CnbkJGRFWBLsZ
1X2sjGQn1l1i+ZJ7rUmn6oDkMCOeTiNeamiGsx5XkZ/qOvSiAWhHZCjPiTJt1/OECtpiSOwQ46Xa
+gu09upOjZtxDsiEETGBwms2XDHdO0e3z9fTPBrPgpngl9KNSnyISuDoO9OejN4zCm2CFiDwgx+4
Z3EgS/e7VMZ7LbFTHz22vPZmdT9VigJBSnkol2S4y+f0ddvU7IbZIllstV6dXhRPc8rqWAE5ALlw
ZPdXtB8cr+IwQU34zFatCwlC6I4Gopgwwxq7twpsuw6Od7/MBb9sP75vKriQFZtyiYkreGlcHOng
GJw/1mDGwYBKilxlo/isHXt5tCfkOfngvBu5SbyPU9ovtr2mgYLWZ5uPZE9VjK5nnqAnujZLL8OY
6aBBsEw73rDMM2Yj37EQ5EB2+fFixrf0dL+aLv9aVMW+um41vhr9iIhuSG4LNTeR3HJl21mjlb6T
doLJYdPR56ldcdOva30AOYPIoq/ii6YXB5lHua+YdhNCoqmv7N4JqWPeNTworeFs3vL2VVndQ03M
3RMeGrHT3BRBhLvm6bmS8lebO9+czuSVkVkSAHEantNMu7Ew/u8bt1sCJNppGDUWFwR0rUDqBrtK
U4e/htBCB7VupIg2zPacMVHwCtkv51KgpZxqbca62X4j/9b8YS5S7b6BVPPIAdmTGMH0BfeBnBJk
RlUMWJ1cci6vXqneWaYYN7G1mDs0ZOmLOnXGAjGhQL6qiMV4LBND+4KoZn0xPktQI8mYqLwE1QdT
0XAdeM11l8NyxZBGATyebJz7mPLVoDIYMNCobC1/1Q14GvD+l1QefsLWNma4G2mACW86IOm7vBzj
R1ehECVTrXD9shpfOnc9Wvr0C46thcveXoMSYG44RPFGp69RGM0mUVMCPUYnTmYmyDFkHRwUNYuK
WQwfWBCkr68NuuImMgKzqCMSRlvuv7w+JIK0uCVqWAQT53cwII17SZeNp0qdwqgzbrMkM55TYXX7
oiGQK01KckSYkvo5CtNlZfI7tt21Y06+V7WvoUgomACih1kZPaMzKb0ClWmkCEYXSdMwSu3IEMvI
dbKWKrTb4sCsllSHjikRZF3Nr4nI9VMxojFh6I4iFKgG21pUWISPrXnyQf7tGcuTu1MdXuLSbZ7n
uqqZWqJkMtPyZrLSJcg0hxSNmdKQcAs4BbHdcCcW9bGuxdWFLr8n+fO7qIZnsPrmnWKxIC/pU3Rp
LkiqgYt1jQwasaB9aRiyKt087piV6C+MtbFiFWX5PMsegpqecdUtzG8yrWNVUQOHTyAqe3pWg9Yr
12ciDIlEgGvip3WUks2mBdpsr8Td8pSz0Ga0KBjizU70bGvFuU0GcdsJV/pDW/2h+O2ZaPWhlq21
nyhsH2YxknXSJ7u1GMrnTmRpUIgh3rWickOB/J6i2zGJFM4KDBocLsuUlztXJfvTcqIvte9i4tZm
a58Q+vjQLmShuL2l+fCSqHq0xr0DpHBbzctwq6tE1Nft5K8Y9pHFqcst2syTAr+GjX8NZ2AcYcO7
9nQG+/yrpt8oNOVdd9bPuLH2ttaDtJBcw3qWg9ZfjyCqxnBVlH2R/FGcFnWS1ass2LPm0ObdfZsa
N2hKOR6T1mGul6q7pqG9JU3D2Bty3Os1SAYjy24cpB3UCepJzZ1n004Mz0jXz9kevqMhRrqU8/zU
xsMgL3YdEbK7So92Kv5QsC0RpVMcZboyqTPs8+o6bw4hqp3r1vucy9HTY6e5jSK2JkqlorwWzUM2
UZ0pfab6clh7RMpOrN7mEUI9rIH3g9UiE8zRAXMlZBG/LjdBCxW/SXaL4/THjif4Y+mS30Y+8YxE
bCSAm/QIHsR/sHcmy3Eja5Z+l143ZBgck1lXL2IORpAMDqJEbWAUJWGeHHAAjqfvD6HMyuFW3qxr
Vr3ottpkplIcY3D/h3O+U/TDKnHL16LOynqbplZ5x5WFWWGqHQBWXS19cBSyehh7G7mcMbVoKL2c
9DcjJmrOlmayrvO+ebVHi5yOcXBpcpr246gCFjewN45U1TmD4qTai7ASOzxO8QlKmLeTlXrWciZS
qQ7vQywulyo1rB9u2qnTnKTeDepWebALvchPiA9zRyGfRUVSayDtN3r47JbBKQ1+bLLjiwdk3HV8
diYmvWiT3FuYkViM5omBMQaXDeq1ejf4wtj1MMQ2Mo0pACpCH5CbbmLQYqgnAfamXY/tkiExMlTz
PhaKfKEmc7asV6N7j5ygg1/or0EJh7O0fVJ7Ch4xitrbShUV0B19RMKGSnEc7vDoLOaqhCSaPPwC
lyDdtIFP8EuZkMrTkDopqCs3Y86X78JxrXjvxN5EuUfXvxM2+bD9ZK+BqGagxliEUTce/bKChFSU
w47jyt1ymmueerfakrS5z5LmnmYqeFSZIfa0wkxcnCl7HfIwpJJmWX3LVc0tNNIt3OkuPFVdFbBa
zICORL67why9NmBesqCy25Ov0Zp6hK4culxYa8nSeUWUiHki8LEnddr50c7qVhODsFp6C3tO7yxO
9+00x+UlkzyN5KNjZsjtrVUU49ogVmLloVnb5G1gnEaRsTgi3SSvy9vY81/QD3Ss3ax2PTW8/NGi
7yrL3Mcj8w7AQvQybqJ3KkcQagQMgdO0/z7XDVEi/a1eSEp4PkBcOoQCtfRZtoO+HxPiamRDD6iS
cY3TrQkX4lR2zeiQ1AWBUHnjUrTom5F36pq1GHESqueMdC25oQD8OvjZ19R3j4FoL1Nfk97baRtL
GDHgTf/SREO1E2ra0mrxSgbzue4H5Nq8G8y72VL2HtsSY5SZSxfo41E21iPuVMbaaouyIF+3rVWF
NDpz9akVBmOTcRwJSi+sZ87OR1vHmt8I2VPujXRewbiOJe1gb5gsVpqVYiKwsaJ0vEkC9HiuqL7i
Og0fstjgiQzcPRu9ZEPkyPwxsMSFdXa/mRrL3jidues7l7WJxOy7plA2Nl7h6xUNTvZcRsn3wGrv
utk+5YH35lg2WMy33kI43Qc/5KAb2txUbysLuXhXhps2q9ZW1mSbuR1+ND1EGRY0X5LWSLbtwv4k
WXid2xCcCqgwK39GYr+pKmYBzL8pW7LoS1ZnF5lwQK87Jb2JnB+BD0yhuDao6ZGXxShUx4GmfGi1
5IO4yUm8QnZlNu226qZKbpLeX42td2ITeZKmu/Yy5uxqygu1Y4oDgr9Q7gpXlt9yQ+tWnVFOy73o
7CJcASZC5lu0EFA51Yi87CzpophN2oRQHyry/tkQXklGKxIQvZPkoMq1A2O3PuEa4F1YtrZKd5kI
LWTXJLFrN2qYOShDm2dFBt7XLp/8vD9HFmGeUq2uQ+j/6nn9/nu9qJO6/7V84XeKC865pP/ff/xj
9/PP8fd6ETX94Q/bqk97/aC+S/34vVMFn/rT2r585H/2L3+RSf3NJN5xnSWW7q8n8QwAyYpL/zCI
/+WTfsXuuR9sZrCOZ5PAgEt4mez/KrFyPngLCGKhU7CfAsD374N4h/E9FfFfSKz4aiC2fbgZtm17
/5LEyrecP87hadXI9PZ9viQ/xSLl/uMcPhi8uq51bB2CQFcFuLk6WEtcz4x7dXtOR0LMq+iLrgKX
5W8QJx9NhWIcLHxNJRyTBFzT7oVywIzoR1ZEOJ4bXBINxZPcnOK5rhbgNVCOI5LbZ1x9U4A9rH0z
nQZUJXegjD920qhersl9TTlC8x1sQ35zl7i+OonDM7ZC960yW3DHk00EmdN4fBDY//Cl92rjO6/p
6WPuENL+ffHs+9lN2onxLqn9rWTGFcRTdgKr2wCMG6IKHoWIFwGpQZWpemifVBfYTFGU0wLMSTVs
2XKxsWwp+LoybcUG/Mx0Z8mp2Mg8Cb4UOS7EU9cPAQ8L2pKDBab6TPOo1ir3Fqao7dTbKBgZPVmt
KVZRx0a3nKtTvGSIucEsNq4U+WeZddXWtSKxMfxlZxg54wvVtH4sKfLio+hUuq+bsrlE2AL9PctR
cYRGarz2HWZWGrrpY4KFFp1Hxty6nYfWf2m6FP2O703Eos2EIHNqZZHZ7qJrcpk/i96+p8gk9cAA
A/EsWxjHCn4pGphibF6vVHuP7PXnn4FlP+PDkiXuLcxdyNqaKuv5J32/4C4kbsG5ynlrUkw6x+Gc
9fsOAjm8BkLaAnfgTgiSkPABQ7aAj68Yeovt7YI8hUj/kwNOqyuJYlQVH6eTcrlHHJ3752YJBAJA
CKgZjHb0kqEtIdhGedjYBoHAtkhiCN0x/d/LzyTAqgcCbykDqrEMUALy0hSEHxLwHa84ylP8fTXU
/akPnaOT9O5bMxVth+lmSbOnBUMnXmm+/zVMxCaRDbQzQ+iOGp8HBUolAZH9At0mc0LzA4xAmmGU
xxmJB4iBgbGPC2kduxcRg66GD4lYibXCJvAB6N1FAwHKu66PzPjYN0saS1xn/bcsq411ms/8WdBK
pXiCWkDaRZYBOqcfHBiZgh/jL0RQ8eWZgfHfwdwTgTdfY/jkOPF/rjR0rgg0PVOCynruqIs9LoC1
MBp+iQjlw4Wm2ztfvyMzd8Djg+EBzy4sXpvtYPP44vSOXkaZw7lmYAizW4w25GopLfFmag0PW8Rg
/T1TNq8tvDQ2NS56rDjNXPEQZ9B5c9zy9TF1Utkt4hXyQFo75evHDtr5vS4DohOgZXxiJ6CNl+tP
iZpBxQe42GnFnYbPAn6VBxTfAHN6F0rGq6si79jkdx5EGXxWA0D1fmSUtwPhvkR/msvjEyxbmbte
h2Q7el190oA0IfDrlMI6CGNg4ly46T6vDV4QIak8+5+sdoa5KMoIO9S7tG2KHzPCIgpHz+B7YXFF
Lha7RlDuawXE/uRbbBUZprN4Xy7UcdOH9nzoZg8t3BhMlwFI46vDK83BlKgsFjlJhZ84FIxo+0Ct
68YN9Mq1DVr6zu7CrQJU4aw1e7Y7fCLRKQt1+IKB1Es2bHmtxyzRPYMe2TWvvVBdtPMze3pirOfs
6czK3Ux9tDaH2H1Qad+9Z8u+FOkFb4siLKanwKMYw3bHC9tG08AvwwNw9kxh8NuVOczSuSYuat2P
smA+EpIcteYhg6M8ha7PrC/039smI1XVwgW8VLcjTAHk9+IYx5k4EmfC46uXBCoJu+PsqbZGgm6X
OE4wG2zFQLDy1ugd1nEt1ceqlKJhZohzimz4hIx3boyHymqqx2KAqsd4u0Di5ucJqySgCztjlPq7
8EvnJpJ9esiGwPpWuP78EsRwPnbEXbGvkl763Wmn8Vm5roZIWOGLzwryCFPjo8wM+ZLYAoYEwD+K
wDAgkNWi52KnV5ytCd9gAfmCmUpJUQmV8HtKCAHvgBHlD34nnyEteg7B6jkifzxHq9rTw7RrFNQs
PGeZ37KQcxndjSzyWCXZHnCwGRB83BKuIMvvrsu6b0vq+FAQqtfqm6qfgrtiNB5RLiHCMl3cRPgA
BsQ0Rc5p/oC7PTlieNz3bKaRATsDVX+OEVdVmLAMFV2gPnCaaB++ktGoR6uqPjsxEul1H3ZzvB9U
6pybvDLtjxFxpy8M/uQTQuFLwvj+UdtA7ce4gzwLgPiJ1VyyKtTUB/ctwvMDUVjN1owT83Nsj0ii
ouB5jm3vk6L72NeTW8s9sQZ1yPuDfdlhkNPyxh8PLHooeRv70nVxDeukSdxtYSbmGTgMTIEIq81D
l9Qo/my2qkUmrRVmLckaBO1hswU0WZkbRFQjjs+pLBAGKDfDeK5UedBtUZDGYsGmGJy2JjPe7J/t
Kg9eU7B7KI1TWmaVCYVpBJf3gFcKBZCTfZm43k8j/te73ja/gA1pb5sOGvfKGqfGAxcZ9We4odlm
QBL/pENDnPSUWQ/skfsfg5jkF03eQPs29WYxPKSejOJTL5krxHiu100rPyNBjR6SxIo2uZfTQQfW
dB56kj6LjpLG9wBjdo5xL2XvbTvbifUK4ff3As/luSXTfhu52n7IUuz1QepFm7hMvEvYhO79pEZ2
qHmVlExUmDrf+UYEVYidbLVJlGk8CFA78DsUK2aMxEj2vOmmwa7yJVW9WLt18xGGg3mDEeul50rc
JiQpbBjlvFp2jDMz686GdsXncYxRh/s5rQ2xqhbmuySBUiPieyeo1a3y5SFQIztgH79+YloqIoq1
mcR5TJBKDfDs1nYiULDSNqqey8+4oy2xYWck55I1K4MU61OUCR+5K1HYkixi/Cd9TnNYIO9kTM1Z
2IhtMrEHQTCPtj0WZMtWHlf4DlIjsmk2J85DEAvvgne7f6olcz+8vEPN75P04C6mneH3wy1oIBd9
SPzRM1vrVCGy21jO1Kxhcbi7sC/Lp5RlBR06MSQkfVrpZrLZfm8bczJWqvdc4BMdqlJWp84ud0z9
bMKXPmnE2Z/Yt3BAeXF9ywk0HFJoALixyvDB6c1h32Cm54+2aE5OObePjLaKYY0wdtxiYYJrmjCk
v1EIMB/SFAWVjLwjYOTgXOex/mh2ReQhVlMviUo+o8yI1q5rBRQU0xB/HPDQr/xuYmLWdg5usnI6
TGZsY95Pgp2nPJ6HXmZoj8vSDOc1pBwUrDpPXN4JZZ9DRsJ/Lwg9pPBK0G22xEPsm1EE7GT4xYdm
kk9RVvu7bmqjbMt1OB7Y6DI1KqB0BBGTCZTRj0gXoHFJqAsb3FXdiT2jwHeeaHUCyoIiwLYnZ8fn
TEAcpiRAJegO37JWeT+CIhm3ae5hUGS1XLyj9mwPISq4bbGUVqAn0fYPiFxmwfBqXZSZt02Nttni
g8a5pAJ1Oy7Tg0gX/YIIXhbzPiOCrBzu5i5onI/cb/ktabAOavwS9/ol60ErdLlbP6pyir3HgvUC
id9kca8G1OOroBrF19yyzXgXehXS/8FcKAwk+NzHXLKwwKdzlXfdVl9tAxkZVw8dZcCtXTSsiivt
xPCyhwqzweI7YG+NyR8nwhyNWYMUO9kR9KTPbue6d22VsLUM29bYqNpVN0zL+9NktSCZr34Ht++e
k7G8YWhyaoJ52qC3aTF91CAHOC336GrljTW40V7GwQuF2rjzO6yRvhQP2dV04Q55TnLyVMbFDfFj
5Hak4TxrBq2LYaMuKnYipY1aBhdD83XKS8wdHHmsPJsK2gERyzwgTjSfczzJ5bvG0XyBHTHfMyCS
6TZuUld9DfrmmQlllSNpSJWI7H1pcLgdI4bqCAL9x9oqPjVOMSUnFoZ+RHKz+daPYQMSgUIOVXer
jjlCYZ7nTOfsULOExZwtoD+nJf8lx5Uk8fRCYDAJOtCDpVGs3Wb8NCc484Ujg9i/xHbTXrj9jggJ
SmM8/K6T/w88Pv8ATzN91xM07UQ2mvTpf8JGsqWwI2bz9QE7L8W9m2Y0sspCB3n8599o+UK/txKF
yzcKPYgRtMGO7f3pGwWSYr4l//pQEEnzRp9KrDmyeGo1ngZS3NKANiuuJ+rRmQP39V/97gGMuBBk
rQAaAoTvj/1/Q86Db2qISzJr7GeP0d8mbVNNKUG0LBYivqvX+9SDxogR+OfI6C9Rg9afwtbg5/0k
x7HX8lEc/vl3R/xmRHUk6wMWAb46W3Albv28tZ+rrKODwmXGLz8IjZosbihXTGb29ABV7BeHWEzW
8z9/NJbf9o/PheMGwHkXzaQlxJ9/HsTEStsxzYwvpTiODuMHN03s51n73bdQWn8bJvkP6DxCE60A
5qqzcCXtK2bu/e0xZfv6b//D+p8IkjU2s64+VMjBz31Cv8Zsj5eB0cPYsmv1nhSmEHfxEChmt9Jz
Ir3uLCMpbzM3I4H8GmHrtbh/obkN1l3JJq+5AdQbvgxJH4JOZ5C+EnMVUauXXvcNHa8TMsUR/fxk
ewbJQe2Uy0OqFL0FEou32h3G/qmzQrfbzRCV0I1UUBvFF6R+bPWjYKJLjwlGosGLaUBzronn0nea
17HQ3bdlkPyDCKfqyQlj2ri+7fh4zzabVxPRGG4rGmJjuTBNumrLiB5moyPkOyRMqdsHRD4cNB8o
70XdEIIlScKath05t6/XAUjptdZP9OR/9eDyNn2XdVf/6P84qryOH3+bY/4/NN5cpP28If96vHnC
RfDW/V5l/Mun/DLcBIXtBsBs8UG6i1XUwiX5y3DTMu0PpitsZMZLVCqa0X8fbgqkvr/5RUOOALal
YI4Bbot/iYqNIviPb9/lAIPJGPDudWGI/gPwkhFjUGTx5J1Km2X+mvwSi2wza9Qjokjohj3lkz1H
CphN6dTRHdNJy11LsvCgCMy9I6ynom4XfGjXebQkW2OmoIkOQaQsD9/f4PKSZRDZ3OUJh4e/4y2H
8OKupwFFxKtJTRNr0RleH7PbQLt7HkTbvefxCHEp9aO1ZRs+Bk+AYwVya+IzgB/CTiNuJ5hn6zwD
rYM4F1qMO1dErWaMNSzJgriarMJdZx0empUvKTgPBZ7N9oLZNH+SbRS+woxw6KO7Vi1rsiFrkJNI
stJqHX6GRSlqvgUBhdsJP2e6p+wyKwwXtMhOnQb3eVt5SED8cWOE9fglHViMzW7v72qFtx1ABB6C
bLCRjdZOYgC6xFizz+eyOGYIHr54ndt+tjvHJkSiTsP3Ogzei0nfBabMQDPmpT7yj+h2UJ5zn7qp
eWBOa237zFmSPcySj3HC9kGBIBjXjJhMUDQkFq1E4y8CMVVTFIrIo4qxXMRexlxelKW6lwn4+NFG
5bufUTA+hPgAQXExylnplL6eKDMjPSRFln7j9eA+ZPkwEKiHnew+KcFTTa4nD10NyWDEiPaczH66
nwNVX+pZ+OthgnWyFkFv3wp3sD8ZNXplZKa2c1+LhTUDhmENJssni8aaT6wH9QBxSqitZVdqayQD
2yIjmnArE4ZSiGyql+53/mLoEnZOWhAZkbbzEeXS/I6jyj9i/G2eZlNHd8po63NtxKrcgyvS9ICz
N1jWbhoY4LKi+/XffY7rMrk1XLsBgZqapZ+2TPHQpcubDFjNWN2UUTcW9cZHxJuFO1sajwHyhRGC
HpONEZUgwYLm+/WY+O8T9W8WRsyR/8660XH0yfT3Z+ovn/Sbc4PtSih8e0kd+M2QH7of/CVSgFOF
//mrYcP84CEe9BYjhWMv2U2/P1rNBcrr8wEmJQ2LnV8XZb8Uv+zY/rJQc/+czwRj28eYYrKpQshC
mvGfqlRpedTsbZzczK6JLKko4DX3WJIim42tJ4ZXMy79O8OlzYJwWt0tFotVG1AbrKtQZVvLT82n
jNG53kp7yu8hiWY5Q+0K+bYv91OYOjd9pWBmkWDQbtyAEJVVHYUC1UCOMEwnbnJiel6fzRhvyaq2
i3OTyPzi106wp91N9pEfYfnLC8ReUH2iTcc6Zj+niTziJfFumVuxmwetb6wdRVrqiqGEffInzjuo
XRqgqB/F4OHVsM+MRWpS1dFj3Qq4AqDGp6MCq5XP9Rs60uB2ziEPsjAI+i0fEG/HZUJH6Jt3P7Li
IsHUC3FKgUYxjwglxSGXtvE+1rL94S/GKvx0AfElpfweT3bUrpPFeJUmjdr3jiMfBQusmwx6JbyU
PAPcBpDte2bWSBpdKi7GbQ7COx17d7FZxaeumY336mr0spqa0M25rY46bT8P4dQ+ZqPt7VlcDR+T
pu+fwrCf0KQZs/wqItidrJFxCSsXkZLnMb1H+xwSmh1UxJoTTruyQUwdEzfMfaRelnxrSWVVa1uM
nzzbQ4agquIrrK7+EM5pv7Mws73PpirOqSnvjTl2b3LZU5BG83xqIkYhlet3O38KCJ9iYIu8zNTK
ljyfcf4ZmST7Mx4lxVejpdxxpxQnOhRgmnXp8YtOIaoMK1JnK3WNQ+aayZ5RxbJnFMmnvE9x0Y9V
47DAmZgwlp6bWShHXRM6AECkbsW1kONxEMyzRDh3a1Wbi7fVGqJdMrM/KGL2B+uxg4XDhWoBBcPQ
+iNFUY7WaFpiu/H247vMkuqSeu60EujHzrGs4UzOGm6rDMrbpjeys80MXrOnGBEyMyBB2MAkLn6J
/Nn2VqGKxVdG1QIEbOMiFCu42OvGLA9zAzuYhl4g3Akq624u3fAhjnCz45HcNgnYSegOG0+6d1D4
hvfKd/Kjyb2PnxKXx2bolEbcmUynecYesMvCvmKGnkWfjRJazA1jwzbbQjiwviEc74jtMkf1OOAA
j7aDzq3XPiwiVEBVqx4sVbXQ3Ex7HTY48XPUwWicdK8fu9EvgoNAzcUcKAjrQ2rrjn2KM7Hu7JNk
sXdbzguAgeTUmon4ikKMggMgBjQeX87FoYmr4Evmm/4t9AhtHgnmDZ9nuhXE3riTMFEhbi82TdzV
u4DtyRvxseFHvCJfDXNsNl4jnVtLefq720jGRR2pjRVL16j6nMVoUtaFzJBiIKKWr7gpQS5idGqO
QVT3G5TQmLR65vHnhJJmg1jkgbh4wrLalPczsg22H4EU24Bs4zUXM433oDo0xk26EVgmtvPYtzc0
Vv4NvZu/pvJCBy+xQrAfUpxoaGf9NQBKBjbAEB7twXD3dWrC5zDCPmIf4kvz1c4TdrSCw3SgOdJr
lqRptid9ojjG2mnvUE+ToQyWun8Eoyh4YP0y+8Smo9XIfNilcJhF6hjFEz6FwBibL4OvG7ZYhJUf
WjOMwbyaursX7Nffa9fHHdJZ2XBh9WBwuMxJuGILxhSMyMBhh0W7/eJRKX9vGdG9alFZt04HRH/b
j8SlrRyWmdE6jJz2PtFhlG8CuylRtI7RMbENksEss3kiD6zZBHk4svwniLIs8nbjVf6NaHS/Gaqq
eAgTwjeGGIt4BhVkW1ui3U9m+RxXrtp3ciSkmiqcrRjKAB9Uia5wuQzetjWn+dvsDFO5HSyv3RA4
V2JwWGqswgyI3DKtYlAnUYBxBqEixyb9RGYBgjjtCxhknwPNWN5G2etYff8Z7HqX3UdTZFBmZ969
lbGWhXstH72yMB89y48vHIvT3g/y+UiQ2QvCpuqxDQOUbVYX2SuI0MuS1GPhYuASW1Vkzd2wxcpf
gspbpGMjb6sgbaqLqRhCEr3S7roYMGSf5oJIcJQJiDLRzGPIYgvBbbeeSp3eKTtUqNf9NkMhVeLp
DU1+XC83YO8xLVh1pH0v1mlUynQGHt5jfnz8XDZoiSpC9jf30ZNgqHQkxm18ZvcbkAw9IKdylkKy
utaU/VJe6qXQBPRCybkUnySTme84OebjqKXLhrxVu2kpV/Nr5Tq3hPnEVqHRF+GXx9sC97wHvEz0
HOeRWkpgu58pYoHCrMsxu7SFkit3KZeja+VMrkT0CPt7sbnYuHDquF5XS6Gtl5I7Xorv5fF8lktB
HmazPHBc+HuqeeM+v1butj3ixQzn5FtEO8XkHTnfSrYTHn/X7PWNXpoAOyd6iPVpeByWFkFGdXkZ
lraB9xMdBKIDiTph6Su6a48xX9uNa+ehliZkvPYjbKTCNb2vtU2WdgUWrIBRSQsz++F07LgYiX+2
x7uKTsdcWh7r2v0w5G0/p0tLZJITd+yWNqm6dkzptXtKrp0UsWnu2jFNH1BOliPvoAShIwOq3Vve
q700ZPbSmvXJcmiO145tRk4yb6W07fqpoqdL7SrmxE4YDp7aa9dnVgHQ0KEcw9d0aQtdVF7txbt2
i44ftvhpPA86eJmhSjnbHgJg3AbXVhN6BH0nFz+PfL20o5K+dEKxpHfO0qw2oeevk4qM2jVc6YfZ
sjHN9dCcy4PqjeSz2zhu+kayWlWt2Sqa7laOWCHxcXiLbu3WsqZpwBgX56mpbnjJ2uAX/aHy4LO1
0YzEw5s+4fOr3rNhsl9CTKTPQG6am7ZNn9vK19vSacuj33bN2lcDu+x6SZwlzTBSP0SavGW99+qr
UX11asCoKyEx9nauevVDIzsgpCourVVsR1EaZ54cJCmyyY8VMfI/nNllndM3bY7wEftGimchLQ4S
xPuD446k0eH9QMvcSFwsz4GnAATMNvy/mXqHPnh0S+P/jpDu/7951KKQ+2fzqGP17R9i235+zq/N
k/jghwxwfcFAiZHqb+1TEHwwmXKTO01YB+b3pbP6tYmyPvgu5y9DfpeREoq435oon6aLfCE+DazZ
1RD/p6bpnzVRQvw5WgdRvrXM2kN3mfPbf6aGKbtL0jmZWJQQtblxWGa/wQOCj6GurIzkys3QC0Kj
UwY0jTwmcM1bEBvzlbZhWYA3ogXB4SurvJ+jqULVvRA64jDHIsZnlSAwQHiU1Vx9Kd3IOZpMAe/l
lfWRDRRN3HIBBNIrDaQLC2+fesGTL/PiUU5quDeHt3KBiCQLTqRnFfZKqieMkXkoqnmfm8301l0p
JClz6hkyyEInma6kEudKLWkWgAk+DSAdjiwXWYgtGUPZOiXie0GhgJFWxG9gL4UFxYYDMRww7S1U
e3TzkvxMMNdB5uzbMEGYi6YkOTtXsgpFFZQVjHEebtMFvtJ0TfMKp2S+o7fDfb9AWuKwG9/h4wBu
6VMCEYYg1ieI2e2DbrL4zU5sVNsZgypoVzvqwGbtIYpak8czYtOe6gvKszoE3TItU6Ry9PEzpvld
4JTTA+f2jH2g30AoPnJes3tmtbceKi46Vt37ESLtxWo7kDUZ8Jqpw1XmTGVw8Vyrga+S9U+OHkmB
hUuyFaN2DtHcWGDeQbLduD11f6aBmaPXpj6aF5rOgNJsCb9YIDvpwtsJrugdaejiBXaTelILnydT
FvZvtVB70oXf0y8kn2Zh+iyc8fM4U4/0Veqt6lljwprY7s2xpT4VuW5aaFilZAAm2xOc1OEHy1j4
QbFeWEIAnpL7QVTFtmnDKttUY4isHbHIcFsYbIJX4UImahdGUczK2N3HaVmXKzsbuy9ZVhTFmgy7
lh6ndeJLFYSVdWAbkz6inHI+2aRaPISzy3djqCufLBT3O3gi4mTZC0YpWYhKOMEg6GswS/bCWxoX
8hJ4kmLtldn0alTkjXJfh99HOfpy513BTcBPgDiNC8+J2g60E4aK2qAvcLwL5l0WkAPUmWqFRCZ/
F1c8lErsfIvop9yELvSoduFI8TzmHwHwJxd/yrrbbuFN+Vf0lLVQqJKoQrjp6bjc8HKtnwMHXhWs
FdBVBuvbs1XH4rYdQG+DBS4b4Cx+nZInW/Iu/zxVViYwAcRkTPHwTOQqNTchdh/+VVdW3JPyFQ46
8x67OpzM4lyZ5oT/3u6MHiTFyAQ7GmYzesQY6+gbZiPgHEbvYgVZjmkLxA8WwXilhQzB5vDu2XbE
B71GUahB4KJC3Pj0vx1mYJsiDKjgk1IusQ8aBtMavxITiQr7AJby6dy7XrIXLYkXrKEXXIGGpIO+
cRs4qmJ47ujHqJtAp6XDUHycotEpEYD1Znbx024uwo1owBs9iZmEQVmgcq9cvM2tcRiVfBE0Gw9G
HpBzi9RiPNJh3gxx5d1Sl8o9mgV7U0wL6EiV+qGtA/uosqJdEUURHwPdFQ8jTeljAc8HmnuW7iIn
LLZ+wxPpoCJh9pmuLLJvS6YmqkTfBA0SbsdNM6Z8Jcdo98qP2m2Y2q9elLgrN6M1ymBCtVjhrABr
g+MZCxusEy9oW4AkdbJeWzwsOz8MuvvUFK8hgujNODvhth4H4xZPLLEfCxtJK7KMYVrBtkWHn+tv
shuAYvAYRr0J0doGQW8Bjtwh4v04OUm1QvT2EvjaP5ZB8+7yjG2n1H40NduJCPBw7Mh7b8yyS99W
n8k0Qg+jT36qzV1p1k9DinynnPx+PZogLcwRCxh+3SHH+NUEB+B4+VqjyYY10rVY3BPvtk2t7kY6
SNmyCJNzGGAwcwaxsTqdtyuB4mDjh3lyI2NfkAY6NvNrAlTplpmI2HnEAtu8jE4ezzZTOUlTRJbD
I+PBem+4lbEXmsTmXtfzHb0jtvauprMLUrd5aDVkMgfRHHnTaV885MY03nuh/ObXCUqlNLZOcxm2
W6ND3YjpZkJcPVStAbaal9+zb2Lhg21T43B07e2cduUGFq6+K6Y5WunBkh/nPEYo5oruzg7TB1ca
LW+JnA3JMHR3pcRlJMuifBqKKHpw7UisxBJ56cKzpO8aTmEEmiy3neStmKK3BIjKg93448WewunE
otJ59NKwelIjgT+94910uKLWk+KlkxnmJ7ejYnQN/kF2Kl2zx09q52CnpqFj/B4yMlATtbWewx2u
1+LHkrnDyHTbqVmdxx4VFQSQTtxxxhhnBCy+Da+9bB9dNAKb1q/yE+pSeATkne3BXCXvokBZy7AA
4JWfq0dehAW9nVlcMjdySWnx/C3efpw6lnnxGS+iUMrksZwd51IwPd4YSmPcGq0v7iDpti0jfypx
Ta3YAdmf+lrQvI6IwXllJODmqAs8dHl+tWPPwuQKx8LeaiQYkMELb9xu1IcqSKej13NFTvnsHY2C
1eLmv7cMV3PL32wZkIks4/e/3tseiyKtuEx+v2X45ZN+LZR9cE74FkgGZFjOUoGv98vmNrQ+uKbr
BYhCfpa8rIh/rZRt/spjYYvsAkEM9qffKmXvAz0gIasoWexrgf2vrBsAVP1xk8vO2EYQgiGFTQjL
iCVJ+fd5tKmXCvIGuuRmatkcwFarl8MZ/llzRaHpCSqaUFn41OQt8JA+ctNobQ4BGNm46+v2IC14
8utgoayxGwS4hrAY+Bo4/OkBLi3+Zws5r/GQL6Q25BMYMIYrwE0jTEdyYnfDGS1/wKojAhjI7bGg
36A/eMwmFiAcwI75OF8xcdVCjCM41pEMp7IJkBzTVFbIUTMg2Dfar2EGcw7p27DpEaFv49lEyJ5A
fOkYfiyqYSsehX0ObWyCXVh6t/+HvTPbjRw5t+6rnBegESSDQfLy5DwplamxpBtCJak4zzOf/ixm
d//u9g807HsDhmHAUCmVmYz4hr3X7pEksQlpH+qZc2ffkHfjDX+HayN8LGYmHgr/5lxB+H5II23A
Sj7kWrCMnMG3FpklfJz+UfGQWEW35Z8v1/qUjztY3e7BmB9VPWABent6gzzMN1ZmkQzz29N9e9IH
EBgbQITGK9o/amazSh51Y7hBi959/HeQQEd3lc1HSDsfJl0O1TDQjUswHzTWfORoI0XnUGjJxbS1
BOhs/2AJ9CTW7bQqBjv4VPMRJufDrJqPNT1Nk1XI1OCBXoVTrw1C/w55iDz3QcapiPu4PWHML3Hy
nb2iSn9BwXI3XSxZpluhgznRrh/Iv/i0PC/HmKh7SzUfxGo+kgNrenUlFlDw0Kh2E+uAmp9pwnyU
R/Ohbs7HO9Oh/hLORz5huT+j+RKwcsW41R+OibDAM8xXhZovjUoVEP7yIX0kwj5dZnHCfTNfM/Px
ChMlvlZJ1Jw1ECuY38P6OZ4vKOx+w3mcLy0EmThTLV4pF6C/Ep3nP02OzT2XOJj5lhH6av7ZKCLQ
pCj0o8lE6DCK9ovyuwfPJ5MrYxSiNGiniEiZr1aHjTDhsPN9W/jTdJaU0Muo6DSatyHfTrcr2uAb
bc/XthFLlM74Gpmnw6nga3+X49V86/BxhSj25/CYKNCpKWPKLnMuDpiU9Nt2Lhg0IJ90zvWBiMY7
7tW5qpgLDOq0aOkQGbCDhEz9UfMdJOyIoqT1tGappuZFI2UrqMFgzdWLZx8lq6pFTVkz9m10CSh0
NAoefa583EQ+MLFK1hlFUc2cbA+h8WW81UtG/Z7aVbKJb8VUGhpHS/bJMps/qfGL1KUCHzEVGAXo
q2xnchmz610x12k9jfoaYbS/iijiOAzreybaCKrmCi+JfWs/zlUfVDrqv8iuV6lXCfpdg8dKO9hz
tehRNkIdAp3KcH2b2KWxj+rDRInZzLVmiWVjzMJzNlehknJUqyRQ2iFK1z3z6U38e9VKSeCZyRWF
gr/v5up2ZLu4Z4wwXNO59s3mKriY6+EJasGdpETGWNTvq1Eyh6dD6a+9bF5afdR2WjkCkJF6kFEO
5KwRxSPIGEkVXuqVEV3ImaA873OLGsj5mZcQjpWa3KfIHIuNREm/AMrhXaDKhvdWUH9kEkAw4E+E
mgDOVNFZaL8xp77XFX8yEZjFCnKVcWTSnm6EYfGVFj5dd4pCPxmD5DJy7C4CNmeLJK9ywgyy8X1q
4SF1Hudz1/IdDMdhfHfHgYYlDUX5WFbDYyYUoDsnS+9zgM/uonOTtrj4lqfvzaIP6m1hSHBTiUWj
CO823xdx5wFFzppklReZ+0Am5K8iF7iVDeDkfeAkLdY7HXkE6hwM5ypLcVvLMG0HAnBwGLRwPRVT
9imYNgCOUjbO5JhJkCE9RKMXgg5IQN2NXdYc0kwELXeLVn7GWpTDMkDOLdZwGwx1H1eo5SHRD84O
ik00nQZZqevAhf1IDAKPSIzG0t1XTWf9qPWwOgQTEZlERZjWz4Zvf7jU5z37EmWcDbBWFfZDmcy8
LWQa1SE3hHMoR29mCEQZ2J+yYdNr+vdB0iaPjhZBhYAHZG+D2OOL60598FY4sl53hkx3OlbcDxSv
gtbIqSLSvMZGnmgr9HABcnRedPUt9N4CVE9vzmgLc5i0a8HR/iuLpegXpjT6O/zl9WUcjJL2QI0D
hF1Yxf4islp4tRKY7atgT/RRViJ84072mWGn7V1tTum911nuLzEE5PKBMzAfNFjDr1qcTOdU2Htb
V8l3mprqy8pci1FsYILIaK2O+YIrQwLOuj383XRZUz+MqzFh27ogezZkBhIFzkuL5fmUqDr50iIB
YiVtDeghChLT1SuleuEecdcFcIBNO46Gtsxtu0CUFeuBv6/CYfiMw9CVHEYY4Nw46y6DDS9yAR9J
u4SRqsnDMNPqLRq9+Gwmhe/zLW7YYBhuOu3dtoy/ZFPGD0WfPeL6YCkWorvcxzpKVj0OeFiLvCnv
p9KEHFbf1mrGbcU2Yl65K2iF36x5A+fNuziyyLsNYdJutdCIEHNxgLO3q+YNHit0lnnmvNeT84Zv
rNgFLMx579feVoD2vA10b4tBXCktKfDzujC6rQ7deYsIHomFIoCQ5iG6rRm1gY2jmnePPHOsIZmJ
sZIc5+0kr9xdm/PG0rstLxkMsMjU551mO283vXnPWc4bz+y2/MRSGm05nlmJWjqzejM27NM4b0x1
Mg3Y3EoBcIl9ajJvVjEZ4eudt63lvHdlNdSsrSBjGavXBRvoulkhnHdP4NNY2trz/naYN7n1bamb
zvtdYsBY9Ya3tW8LFPpHPBpFtm6ky2KY/JLpW1FA3dHRFSvmsj/lvEkGB5J+5PN22bwtmjniWTqP
twU0MV2ciLe1dDhvqF22VO+dVbG1DggTJafXmrPmzNH8acOtPDbzrtu9rb2d2wq8rLp6gTc43yF2
5X/GJA44u8gMxgcn9soOI3Ogf3RuZyyLzCreffj7V4tgcKjagyHe2ts63p8388VtSe/M+3r3tron
rpQ1PtRC70c47/bpsVnzm/PGv513/91NBjDNigBEufE+8uOLmNrwB3uUs8+qLp81BB1igp7Uh2U2
Nu5VNq44t7PmgDxj8rwsAmLv1axJcOA3bktFYbGwqk7+dG/yBaS5RFLeRA2AQhA46Dexg16D33QT
3z/XDYGwPVLLvRGRVDVJq1lNGAKY+Aq0GzAZWKSk3ziR0FWErbK/FfLfYNHNwotYNdWzj538J7JF
b9PdJBp8msg1ADy1dyzt8V3d5BxE9SLtwEQewWtnUflVCJd1TjX/V6EFCUeL2d/lXhm8Jt6QPIWz
YAS0Pmlrs4ikuulJ9BisU1ylsPKRXQYpmAbnpj7JZiGKc9OkZLM8pXZsncm418P2DkKr8UCNG3TL
s7Yl1vTi0KNwPfEXJidj1sF4syImnbUxaVF2G98l86FMfCKU4um1uOloUOhWH75Z2hcTU8i3Pott
/tsl/3tdMoEFf9sl5/1fwA060TX8wB/aZvEP3bJt2ua/7JFc9Q+cGopYGhvTq4FG75/dsTl3x7pj
S1rneY30zz2SFP8wyZu1HOTQjsTM/x9BG6SJrvrPNgV0zia8NMWOy0X6Z5qIq//cHY9p03SZHToH
UabDUYPxCMPHiB8G04q/QKaxw7/dS3ZicUfFt+vqdnHd7jDPrrULzzU3G8dZd5Fm473EE/3MsZwv
waAJI3+f324pL2NKuixvV6buUTCDX34Zraa/tlUBarAiuxSiW+QkX918+XZl67wQ4B1RFNxu5+Z2
U2fzpc0dtA/ma7ybL/Todrer2z2fzVc++vDkO6MK8BPKgcgdutcG/MIDhQzVQksI/a9mLiHgEN7B
U2FcSnEdsQKm1JCe370OPvRcdEiQtUyTesT1rbJEo2dfCkU8/GoYzZp5mD+wxK90GFuVHH/ZqaZd
8yzqwXh1RKp2hJ/t1a0W8qkyGD3kpjwZQRRHcKcmvMvI3wKSO/1slyivXltoK950TGDD0nRSZ1vP
8wykUCp5HPUguGeuTt3S5v4u7BN/64PbOuAHIb4vHwpzBdtAAdfzMaWToYF9cxw53+hajJa6OWYX
sMpk7n6NusC/iCzJRlY4S12YlgK18+Ly0HrxnEFCBuSCrlgtk3JwjxVaqtvEJFvAhXPOWGhcxuOd
jdjLTsudPwb5LtZEza7OcxrCz1LkzHJSxWOZ9ITC2g71ESLqa+4m5CdrAB3uEeLZYuH4U3QfKmIa
IWba3Y+kJQRIYShxGCrkNmfjNA4DU2/ymQiz8RrMrH20Tuqsus+C+cCH3YmiSKHzlP1AoKSAeXVo
otQMFioY/Av+sl+Y18Z2J5qphP3omPmv3kfauTB7YvIWoZyaz6xiOL/zCCV58doh2ndmVq4nd4zM
fZGp7qPQXVZvfcWVxy27wfaHpCgySWHXc5f15BDqhO41tR+9ED3uDR1OFCfMEyYlNL5bW+/Ch360
cYEa7qgnX3y6Bvr+IK1C3tsBkZ1GlupUjXl4FspOvbNfl+4q1UES6rLp3nqrx9w56gYIaX6HVwP9
SaZHWYOM6DMoB8tGJwly5+Gg3mjIQRd0+mrZYSk/UJjHmzqNifeOsIWPxLIVftwvbMLVMOzJfF2L
IoVyq3sbgOXjAt+rsQ4Ht4X4Y6bE/urocVz9LheoZQegf0K6O8zV1mkq4HKOoqJjEdm4Y9jC+94O
Q5HOTitvlTkodBcyKwV63nxUq7oGZEDz4m7CaGoORlql65CRFg5+tz+1sIpXfZnG29KinVvk2F6P
CknKwYja9GHUM+Llw1xZW1K2mwfNra9TwIMZE0s0OeazrrXAR5z4y6lyuYqUQgEaRvWT1hoJ9vgB
BlyGpiMcLP0RbAqnlpMyZHCp5RcCvtLSi41ggRfSWdLkNIuujS+mzF5cWZF2MvFga7m5ixr/Qaks
WKe5Hi2hc1FqhQJYHFtaZ1dNKoXlq+Z3O++fhAnhSjAr2Nu5nNZGorqtY0TGgyrmujWZCOdAY7K3
LZmulQX4nJiOur1DJSuwU0XDaUwZNZng6LGGQoANYtrxoQjYILaN/YQSoT0WvYL9C5OCM4X5F51M
aHnap5gIleHJ96d7ESveuczHi0E20Hfss8bBmiB3LSaHU69r7sDe1R82njG1yyYTKcpVi7jDMC7P
N9qJXaVzaWN8MNYdybsNOzRd6YSqtWzAk3ci5jHMgmvPmnntTYxrCAxOeLcNM+JBZVXhfoaAEHjP
zY7eORyaAVWzlp1CpgP3eGH7r05Y2rrL4ol1nSHWwimyVSTtdlPVTvqDWRA8IMx749Ln4/8RESJv
WK12tuIhu9chFNDG+eIJt0vyqx5l82brvny0yyG7gmP2SeIoxSYpqPu6qXH2DGuA7Cbs/9eEKicc
ukEIElua+cEJavPDrPlKm2bZn+hP4WTrRb0jB12/r2srXt5UbXXaj4++nipnkWrkazcdQE3BSvNE
zJG3E4EVLYFcx6tcOhyZiX+PkirahZhJLlrc2pAOO8emdzZ9eMMNggIkr9NBJNAOU4QV59BIvOcg
o/depIVVv7MkCePFpHXhyejielcj+SYySR9+pk0bIx8tpiezM2kGvMjG6oKcegYQ1c+l3xuniYLz
REPQ+YtEiYjvWxk8WKrVHw2/MzZTHhUrDE4sExU6rteiLOqLOanhEtQ50hIOpnLHjT58EJSdPJmB
BNLeKn1gCGXGSwFqcRnxrTxYVXNtbrpI/zeRpCjVPPkdWfQhoBxvasp8sKvwVbIxQ2bZ5KrlJopn
AeZ002JmsywTr1S5IrgBrWYxyzadWcDpzVLO6qbqDG4Kz2oWe/p4xrc9+s9+GMotgkV/zZfU2/NR
JitwQMnVnPUWFhrS1teKVTnLSv9bH/9b9TEhjX9XHv9vFf//9r/bz/yxQ3IphS3FyeHK33Y+/9wh
SXwpbIIUQzhrZptRCv++QzLVbYdkgD37fxqtP9yA5j8EqWMWeyc2PjMt7T/ZIfG0/7VKZpXJf0yQ
GLpuWbxSXsSfq2TMVVAYjJb5ZeIAU7W07lxlMFQngooPiV9auwmcMpTjvh+/rLyG1RJLUM4OnteH
PG8FcMNC+yAVQiBSl+6ZYY75pKKIQaVigMimSdpnirEaoGIXPiGjSLYxkKl96iv9PS88B7wJPDKs
iuRU1+XPro4iTqOZNRVGPYOzui3wfhUx9CdoxsbSG2LjEcVmfHCRrh8920y27Uz0HprsjmgjINIJ
cR0aAE8wAHW/z8IUOBamX5pKzbcPqJpIDvKS4T4vHNgOieOextrvCMBTg3EdtNY922Es7vQxFHeM
MLQO5JtZbuh3ki2Vi/9jhlWfWQBf9EG1d56hP2FJY5WiPFTOpcTWI8rC/GVSqDLXG9XSoYYxWKdX
zYU6icHNDAqCHIXWq0rCdmslovjisCk3ZoXZogxhQCHDjZ9LGTHlHbDGbZm8Rzu3bppVL/t0JexR
pzgy2teccfR906ISaUhG/nTHfvwBRdq8AufhoB+j6qzMaLhaijdHGEa4KdnXHcWgyKs02wHZuY+A
tWMKYesxf4ZPaSrjLMHf07NVj2X7Ra41MwRrXJpucURXu5eeBl86TMQiJvWMAZR3l8ZFutccbZ/E
drzyy3x6lV1Vbsuys375LrSimj39sVGy3youk72RBulFn5iXUHlGpI2PhAwSIB1x88sxevHHcA5E
UOk6ClVBTrLqH4uuL59cT4Z3k1Dirq/BvS3aygxfaefqE0Pm5FHmstimZKciUkOlsrPoyICiJqZ5
nRDI3fm+nDajbRPAqRWO/ZCFBaqLrCkx9tdmd1J9KC4uio5D7jezoHeSyedc/Z3Baye7cWjN4zwI
3KaFCt9ax2ZyVAT6OfML65qC6doNwTicBZDWI3pswAH0NveNzOunCBEMKvY62acaQ8fM44R3M8s5
E4JivGWkU96Vvoz3oQ4vCH0Y1Oc0rpNNLwPrPin6oxH0kGRgn+000azbwG8+gpbwDNw8sb42IIN+
lGb/bZVDikeC7SqJpBadqic3tkMc9mhnxosp48+xpwEkGkYab7aTPeWdOb3UNckiE3Chax5QCc7K
Qu1gabUIFiidyVDocPctoc+XH7VXoV7yuS8X0jQpgZjIbrOOH6JPS55hy6fLDt3/WmBrPUY+H2KP
4GqvCABaORJdiW3WzU/mBF21aGL9qckzJlY9gRh9uc0yR0GPZgVJRmQUX01dTx4sL9kppqQH5U3Z
XsYpSJuiRbvDYfkGUDWk2Ew99BZmubLrhvYqG6KHohbye0Jww5SVVJQpGONFVFjxD1tow7OdsZ0s
DDgqfKA0blXAIqlUenGB5g2OWpVHJpXs6lx3Y9F+bbGKijvHcZNtmVxZ0HQ/NK/PGciZ+jUSvrnL
sHLXS7qI7pyJrvo0m5FXwkC3F4O9zYEprUHpt9o6sE3nR2OPiP8KMRH32Ntjvs7AxdxPdR5vySpE
Pj2Olo0iB+DPbGBBxeqNxOxMNcURRhpn5brds49mEaVc7AJ0r/ySY66GB+IWlTj61Dp38CXFWtfR
96H8dxa+P5lrnFH0PFiOlm6V0RBr4WuM5RVHWy3WuYgwV0dx/jNRwXT08sC9WilRvlSIOOMmX2uu
4ax+tO1saWVF/UFc0rCNhOVcRA1HZ1mkpjjPednklacTIDQnUSjUc/fF5dY4TzIIXnEDhad06t5d
5rM7LtEJX1PdnQEqhXyV+uhURypbNqPmntJWVhckWOVdJPryRfPC5Az9osAeU/sbnTD71WSAxrLq
0nyN+9TYKdZF68pz8g0sYeN7sn24OExtP6RZzpdLO8kfqCTDZwCX4MZUGLsbM3L9LQkJMZ5wH36x
7gUXXYdI1LvSWpD+MRCCy1ufsSVfjWNToBk0nCMAURqYIcmDe9OOer5oOnslcJnM1gXcvdE32y3w
mmYfu1PxnLTeNtSLaM3UabrEnSnXRdcxpB3R6UbLVsvkghHMRkGIO+tw4Qit9eP3vjRYZSKaXnQg
Vu7Qug5HbDbFztadAdhZWblvsVLhKs168SPxKkz5dhggqjVWI2O6ywRw+hPlozgUjaNtUoJl7vUw
S/aWJOpLSb++JmPvPPu94210UYrHALklv872cJyNmmIPYFdnvGQ/s3oaacNajv+2Qq+3SAbpbwez
11eTiSsVEebRgqnWNUB2QzYk7W8uAD1ryfRI8ThcHVMQ3hxFkQ+MjkIEiW6ZjEsCHppr6cP8zwMe
aTpCG9vBVFd9xmrDKRHf4kvoZoeCHHqNHEMQdixkLh391a7B0GDNzgbOWlo0YFztzxjjA4SSD4ER
wsYQ4WCMAIkMbnPqC34frolq9k9UGCmM2VFRBLb91BWx8RJHffZJ8PbwijnzzfnNjYEjE3TygVHD
7NQoSkIHmm3ym4uDUivD0wFwEoNHaOSNXIPSDmi0yMVs+6F1LmVTjupHrbxfbcgOeZd0PR+cxkiL
AUc3dUsMsdt2pOrZpkGR32H11fK3ggOU2svtyAXwyO5A4kcAoRZXq7qPjBVFHsIQf8zIJQrtN9Jw
yCDBqxtdvCFIjsCl9OqpRSzubenMkwkhHsZ22JF+Y0VfDopF7dkqvcFa6xihMlxvYZzvSzs0V5km
xm3l5tmmU/VrTWgT80I/WYmRT7Lx5SuxJv1OhQUuJXo1JHXZsCEnjHISBGhYyVPrGg5YGg19Uuxz
y2h2p+2oRZ6ziQDkgDnygRtEewy00D9BAiWaNtPHcxfMWEA+TeQCqJKCsP+QsTseKleRrQiXcasT
QIBbaS63zMloSYkiTDRERO+RMKbGVYfMf+ckpGqAMg+3NRgZ8ALymk7wx6JS8/cToNt9y5r9UKVG
eGiEf1JQ0JfC1gvkywodu2+X762pEkB61kiiegc+uoFHqfkClG+Y5OvekwXjSAYYiKwKpDt8zLtW
kKrQJEa6hWIufhGETBlNPDSDvYULnuNLOZlyXmvRZnb92Uq7jK1nNrBUHMuwTBg1/tcy8/3vNHGI
mI2/XXK8jnnKhOjPSsDff+b3Lk4XElALiVk0cgYNk00X9QfDRdf5v+jE+IL+vgX5Qwho0anRvjlK
2pJqdkZX/97EserAZmODruaME0D/jP+kiZtbtD/xmKBDWUJn/2HphpSS/Mm/tnCQWvB5e2V/btMv
n5FAkPz8U0/7O+jgf0gGvORIP0Aq8Wb97S/4F/xVNZhJWgz8AlJekb6gUHI/wu4cuox5v/7+V91Y
Tn/5Y3RYYqZumKxt6EfFv0RejnoNxCWROuSmZBQzGw64rcCT6DpGXFrvdTT4zmeQM44XW54wMgkB
tlljmB1oc0s//UKv49j+rPsKADZsvcoXW+6H9pv4YidMT20FfEYehSqmfVK7kVc9EREygodnuvw0
ls0mMkLrUDcE30VlDptlpOpgkmOw32TEV6HuMToUT/gUOu4qonLSMogfodD5XbVUMutsNNe5kzZz
/jjaiqw10CQU4fM4JO0x8UrCNidAdP0GjkNipkebM3hlDWo6O3ps9e9aLrAFkjwLq7cxKg4jNl33
GD2LiVQdN9Aeezi+MlubiDCIDFs2cdQM3uyQD+vtf0c//86pgTJ75sD/jYD46yPI/3xm/P4Tf5wZ
88GA24E5HdRNxVL7T2eGTbwsqwv5r6gS9x8CNa8Q1HBMY26K4z+ODJ0jw3KhmJgoOSyoFv/JkcE+
9V+e6flfELys+aaROq3bXw+NWOdbiHpAna1AanufRqk8UgONxlpzdDoONj9GGpvZYRAuW7opLCz3
J3rk7yCfrEdpk/O91HMmPQxJX2NbC49s9EAfJdT5iCq52RAdTbWLaNMEIfugJYaPbsDv+/JZZCWe
cliV83c/dvnKYoqJorNtBG5Jw544m7AOsn3qjYQHURUu03Fe8aUgwufZ2CYIydJdR257jclJQ9eE
kfiUmEVxqluj2Y6qKw+GW/VfKPzfZdo4X/h4BNjx3ObMCIv3Ko3FUlqp2pM18mGSccnf6wRkkwCA
Do7TGAw7UeRywwelnREHekSG2d0mgNOFw7/67VG3i1Yn4cXC6wfUIuwj+I+B8dqNw0m2ZrHSQ7aR
dRiIh7HO8oeGqKZV14hXclDd5wHpzP2QDSYqPfd1GBy17sS49MwuvcpIK3d4LYxzlabVvnVMdNtR
SK/U5f0eq1F452rJh9uwTOK9pukpVHxku+Ruk1zriLCwvf0IfW7DbhSxWBKSoBI5+jcHr1MuHdSb
O9cIv1ugImu3D4cfFrQjGnd22ouycHzMXYnzTvw7CwQ7wmDo5K9pmL4SFBLeZWUxATLtuzev0ay1
aZKrJePQXlrF3K7bPSj2BdE3Fsa+0KXNnwapCEkPiv38jXwuu1ptHOJQoNa0SbyzjbaE5m7bFNF5
Z1NvQqDais6kgCsSNskLFev+g0QidoGsPt17fcB+d5L4y0w63UUoBovfQqCAa9tyiyi+Grk3zPCx
R+Z2stJiPAWjMu9mWthGsSq49FVZbbK6Hj4bRhHY9QQC4DbWSPKua2SOSM31bUord6omL9xB5KxP
jUeaJx1z738FRqItIZtau0BvMjxkbWEf9cJlTRs2tjj3GWnhCpMgFpVsjqQrWa4j1azbF0JsMKYh
BTNg5sbluMQVFq4MP+g2XWAQPamlALdJ3XWPXcrAD9u1xELWlXm1ceEghyUvipFYcaADq5+RcpOt
27Hd+wXgPV87TuLuGF6qU2VpXwoQ0cIMAgiuGrPThVlBoVjMwT9LszALCOnCfQ1BmizQMoOeycJL
6jiktfmW+NlRCG+MUFefxK5Ph2lISQZWXaBAEGgESOlN/8PNpXnRYs9mGknP2DKE8VF49+Mx7zUY
Qw4wkYOjYlRlKaxk8LDGdOE2y9cTZsmlUsOcnmQa+5rBxAPCcWvrJH37YhFUD/s3Cwjn9GJ4bq6P
caYgYNJKXdxOjsufpNg9EcZG1DAqrh71LWku7KW7CDADQ5Kwd6bnbiiHBRNDfRPAa1oF7shH0kjv
LnCy6qJYwuieUz0R/a4eXLPdVZk53fctmli2OAdMDWG/iEhi3UP5gPPbq/wSpYa21pEUk/xcOOMj
07nijj2h8WSAjXkPhV7ieQRv3WK4ZLUdBt4+oxR5HKISSkxOxOhQiLvU1tYiy/urL8vqNJLKs+Tw
FOcageAS0jyys5SM106wLvfNXuynUv/Se0udCwm6iJmFsU/rVi3wp7GXzQojnj/kbWV4wcoLiyfK
hRGjl2E2j5MbjN+pKOAXaPZI1HMqr8ydqC8q2r0VmRRoaUMSkW1scKvQ4yAXxtSQXtIOzxlwzU1Z
ZP5SOZ26w2MJhifnIHLJ/V15sUsMZS6C3YgIeKkNZDpXkpEN+dWWeuMSnHbSdZFt0W+hCwlA+CvZ
/oo8jSRmK8wfaqZty4I5J5YU8eFPqb8GRJAA9uzYKHe1xlYfcdqbMfnNCUMads+8JSCRyZBJ2NXR
SPzmMmUWTOXBmS5Chx1VQ70qMUJ401r6pBKmMg+XhknAWA08ftXagfymWe7WvT180qZ2WDZtElPA
aGF/U5Z2CjRZQhuy+lf0b+FS6sX0oJzeXTWkuTDyDXg2UGesJosINT2MhztkGxoHFu1xb4XyPU7Q
1zl2GZ51jwCzSeT6R5/6csVUD9g4R7rRj8bO6kBU0xt71mMYkkzJJNDZp27yMAl9rxwmki6bRrWO
BdCIRWZY7soOu2sP6PVVG6x0iX4A8y8L6kuU1COJqyxEX4SvyoOLZO7gA7/A5RJ77o5zU8PnK04k
lZsP09Re2CM2C7i6ybHlDVtafPeeotFID14O3VlTTOGAX5zU5Ad719Ee4hGnxUA4grMwTUBgBGQ6
IEZUu/GdJlnXbDaXwvFOUVzE21zVkHcEEtdsIlStL4jc4IEKNm2ah1u/aedcgaRck2mYnnyr4vju
vf4jCAX58p1Qx6mr7U+dIf3Pih3T2aqra22m1uPkyGcx4lqMXa88sTSxUYpr09ZpbXgrqG2e6zRo
D5ZK56S9Zh9ENsGHcZhvu3aMdy0uJBw3ml8fQgM4iwx9+VD7WX6ZSgtmDzdXh1T6qvsM5LU+608Q
fVAzmrrXvephqO2SqbNOaRFGBzqFTW5GxO0Z4j5W8gXcilyQj5CsQwjRCxsy9pPr+MW2bZzyvnAw
Tg91YW5E6X07sc8RSEr31qndYoFiP4G0mEynAFzakQm1D5wMW4Rdw24vpgQlEEzwXxYbatCMJDgS
+PwYe7yERo+bJa8PiVFk3nWcqlCw9HePIckizfGnR0WOU0sb7waF7sLT5XNS4qcvI0aPUqu6LcJS
lCtD7L1X7TiQjB5W74OWKaAJZJXkndHt7T5qNwjH33tobeR5EQnsIxyJpZ+ukZp9aC22n2o0xcJG
0n8A3Qko30+OQ3O0cwSDjOQAkMsk95eBQ2ZkIOzkOdJU9khRFR+z0uGqJ+oHmXIfsy3PycvZurZf
nBPiYVNlFluiDCpE9zJbZYOlbYNIYqgIDP9kR8Ra4t1ocRVHhIEyO1aX0sLiH8gEJKTTVqsxiqwl
m7P3mtErsvbKKrZ9r0/3BcEVy9iq9AM5Y9nGcvrho3WQTC3qErqCFzM3YnnkY+tXI1lHVj4Nn1kc
FO9q7JZA5OuP1He9FS/kV9qm5SZKMxeOZaZV+7EWDjSZWNv5OHkJUSjjNEL5FGd3xWDETIqlAoxH
B7nUpA+zpzJWElUEV5qCJ2q5YniI4+ieuhcqkmAPBJd8I7yCG7T39MPEObDkEi5WgAnEjrBk8cux
HWvRYIWD0s9mIoe0utZD1PCUHtW6TuIrqSCxuahhWh89rxbLMjOiPczA9n2epu+MwfPWNmHMjAfH
Oj5UmMtIk9fqVUk8BAgwJG4/ykBU7kZvbWsRTuJqs0GD5Tn60VnvG/2TsW1yT6wjB0JnJEsTAdLG
y6Yk0x+dwcMatfI6J8g/wzbtFIkhWeKmT/YQxLE8eJYTxkeSP9z8qR873rW8+Ro0jSlARqW8iCql
T4jTEt2GlQcgGzF2GNurMfCzldZ4EQIn4BnfhSqC/2PvTLbjRrIt+ytv1bgQC42hG9Sg3OEN3enO
VhSpCRZFBtG3hsaAr68NRkSmxFBJL944cxAZK5Mk3NHZtXvP2ed19PmE1Aj2I79TfdEiKFaTOcCa
mEKmy8bgqUCXXnLoBwIvmpqfrqRTPQH2WlkEPWw5onYimrEJ+mgyd4lr10xhalW+tqGOdixR3oVD
xA9PMJu5M3kC93MMkbtpbedV5LUMYZLP9TG0/XFjz3572xaNRW5O0R60oi5u9DEm/c9i4kAPcez3
xH2S/RhL+pdNZaKwoYQxR1kwt0myvdPmYoNo1TzqpRSHVm8pAWzdgsQWq8B2psJauRrH07O6+qSS
QXyWdBVwjiV14YI305jo6jmqFs7c7Wh5sGvzbkKIF15Fqcdp1QkluFMj2X9DitBkjZ+QMXgdEQLf
SRm0MOuByZF93qNfrL0rj1WY5BcFrx6FJTWyBJN/UEWa3kde3j11lJ7smRjsTOUc3aH6kltvOdlh
Eac7aG8LQpBR8FkLaYWvaB8PG6ev9QuGQc1dGBZ6FyQVP9rPvn2Ryba8JVi5XUWN0TwAizIejdpr
HssKcmDh6pfCBF0AolHHW7cwX1cl4YM4+vUjRKv6bqDZXQZhWJfuqVexuCFv4Nmd2zxb1TM825UW
6+RCjDrLfjJHoC11AieusnzKP6d6nX7yAKEhdWMmA77AMInIHbpPWdsj89LIMsF1FR1lEdUBn6jc
pm3KQ6jaEu6YAwcMGBd5x92ivAgwyI1fZ6o+Kn4NbjJYr+m6gacWB6WfJ7dt5FOJNXML/y7tzY0E
S7sxyYe8GDM0wvE8p5c2M5qLwvLdc26zc3AVeUiOrn3NvWr+FOOawNqOahgR28RLQ7eziTkfsGnu
/JGA3tQltgD8QIB3LNx15pDflkudBHjAAZSGVhBtWXQIl9Crmsp3nSSgDMs0NNYp27KK/edSyBp2
ewnlIkeKp9vLGwz+xdSMCF1lkhbNY9UBKbgyiASy8LyBSj81mGsB7FYyZlAQkyIwEozpzK/aRKj0
tfEOpQIKwh8ctOlzR8qZup9HLWV91To2vN11r0vsr5u+d01sbj4s6vHIKWk9b1tFDQnzljQqxsP/
uxCDjEWnqTP21F2ouc092azq4Zv2zw/apMaCd/2ud0kjlgGn7VKV0d1ZZO/famlqWJVpbhnjOdKk
HWg+ikvDRDLNIF7zvCCMvpiFhffEPFiZvdVEu7VjY+O54anu542sug1fdQdZhuDVX0L0f/TZlua1
cFzESOYHnU9hDE2ph8DYsEie3ZpaMdzTw/35GVg6zR9PABxz4WJ792lKfjgBNk1INr3DiLhPhyLK
FhgHK0iX7fth/kNO/gXTwESf89OW5PXvZSlZ158/xG3++Yt/diZdhGcM3AyX3cO7guzfnUlP/802
fMPwTbi0DMsWVvJf4wzzN/4nx6M5aRmLtwK/xZ+9SZI4XcNeQPGewSwUV8c/6U2azt+4Bq5AMcJ4
BGUc4OaFNfbtc5QXlpyLWp/2Nm73KSAnJjHoso/W2QwVFAG6OLxmiyJpi+3YOY3PtLltL4RXGfp2
btoxRf2vE6XeyC632fPby7wQ1gnx3S/10IVXo+NMR5qKekDQjzJWc+HRrQKmKzepgUN/dnKzxsfM
Yrlx54nQSxMCuLkhzmfeaYZZPbRyag9TCjbHIDRkw4LLps6k57QSuRtvWlacdGEaNfA+W1Xu2cUj
LjJo9jzPqcXWNTNY0VaVYzmsLzVoH0y2YYBjg0yxOfldM4zoZYS2e1L8zqM9VSk0dc0Xl0gWQipI
l8HhCjwEwVm9HZmbShvta3Ya+ZGhBNaDKu5Owyi1nRGm8zrUQ/Ltq25QGw/o4pYdUTqw36N4VEuH
jQiTpWdHFhCqkZDXcm5bn7yW02xosJxXbNv0A/TkflO6jtjT6Ig2ps+ZF4kwDuPsF9edZjnbzpmp
Z+acLknvtVdx6FH3o6AG3eWaNeCFOVyzxXa3tOL0br2AgHHtRfpmch2UwG1Wo38obf2zQTvwsq/E
I1rt7s6QEhS9h7qetgCphIyFei/bLRq3B5VTWab9AriuI5TuwxyGJwGQDXmtnpFMX85gP9Efug6W
e5zcoX2wtFF/I4Kg3IjCuHWHazbcSNhGQKsi0q9F3yfVWlamhcZP9jhX6uhTi2vxCnGivca3stEk
fhC7WFpTcVfsrFLlBxK2w0u/TssbSJvilAnzczIKJ8gqPQsmp5+2ZROFd1MPdMzR7GKPqJfsQ2hS
VPjpbdgDx+o16QahEuNF5JA0n1rehvCEcR33ehWEM4PMlc9Ue5/6ob3tnSJ788fxBdeRtq2EwN0d
d7lxy00O2xG58IWcDeQ6uW9taJxD67FMEQCXuqm429ZQT46VHqLA9hon0GL5OBdsnmblatsYg9fK
njw+pYztddTjnjV6IznkQ6w9CteNLjDjLrSdGn2RsP2D6y3eDS1GSGGoYZ2LNj5bAyyGktt2pHFK
8VxPMX2xMk4WoEBI2JbT2xsALApIV7cIbBLm3ztHFKTtfvKQaCZb6RsI1dgYzsLpg3SMo9i7HclD
c7D6aCTS35kmQ7M7WzqEbQBTzWLjwRDcCxQ7aXJ0Wt296TwQeZ+VmBnK9eSZWVt2aAvKGi0Hxx+S
s+9N5mffwg4PYcqA4dyGVtxuhEFh9gjms0wvxgqBERb9OeXbpKBOyl1bsXm+G5JEjHddlvRYQKMI
M8o5s/Qhfcoy8u/KAJtR6eJUsqW5nmpkTsEgTcWbrU+i6KnAcZ6vAUgkXB+tKrg9x2rCeDLNBtUo
UwS+vofJJgpykOjepimsLov2E63rJ/LSxu7FzXwMmk+cI78fyCfsqkPSlRZFfxlmHYZzqKS4XHXy
w2Gq6H0X3pdZ70xrvcHsuzbZdYY8WOjd/7NS/7eGhzrzuZ/MDv9v/vz1ufjeWfn+K38u0Z74DZgG
k0OCCbD0CZ1K6k/BAZBOVkWT5dHjCeSfVKF/ycZRHFB1sajrlnDwUjL0+2uJ1n8zyU9ihOg4iFxI
b/onS/QHxQGTedBHy6egFjB1a/kI3y7QqcEWR1pC2/uahu4Qm9O8730h7785Jz8oqD+Uk++HcReZ
O0fTPfMjCXQ2ZDuhh9IIjSWfOKsKsGO97l0V4wD85efHWkrTb0rX5VjUPagOTHZKSPa5fN9+Ja5F
Kv3BCveTUflXutMOJ4CU1kHMusIaWTCs+vkB2RD87ZAsz46xiDeom1ydMuzbQ6pM2o3hItJLIL8R
h9pU3WXV9mypKo10a2Yco/+ge45lbvU+GsiczfN02jnVaJbYyEC32cPAi7VXJWE1WMP3PllkyBX8
Vv9a0sC7bHzp75ow8ncjuXQ7AhzMdQkPFTSKUdyQ0c28UGu7T0bnlJAVW/RnYZGcw6lLziJK7TKw
ojLeTY1eXCSRnDZNJ4sbUxPz7yRRzQ9xJtoHt45Oej8Bk3Tzco2yXt/P+M5PAouwt45Tq78xZV+8
zdZcXc3WmH4y4YKv2I3kW1w6JYMHvPbLe2yvV0B+mrkxafvrFRvlaUSOpnjndvD3XKOrzm3tIQXL
M+tZzyM6sc7YBDNTrX0z5QythfJDxPaaWb1grIKxOIMkJR037tlGj4jQkJxudWm2T0x8/BGgYgwL
qVm5EzGB8smHMzXJy7is061bukyoxpD7fK3HFR0E3SrKr33r1k9pH3mfU4w/t35EqsYa/oD/mnqS
NojhM5FbFeZUMY5JE7VFPIwdDyVQ/DWLiRteJ6XIr0hI9cCqiqi6XJjMx6kvxwdvIvyVhm4bmGbO
vZfOcD0FkdFXiUWipEp0zA9kn8eN72wkqJOnwq2GbaX0joYKJQUeRqd4ZWgc7+IyfplabE8RHR6I
r15fr4zZjguCVauXuAzzU5MXCPQZod6Q2TDj0gw9SdVgZBdOOejakplOKahV2p0AbnCBhFnsh7GU
G2tKskudDAH0Rk5HLuQCN50juEbQkBL/wCmQpNM6L00H3dQY2zMzpGGFsu9Vt9TINEIcgRypVZZF
n3ypJdykiOmR4sc4wAq1lmpkBmYKtMkhdCy37o5kEwtrpboICxdeqmd85PTVNPeLxSwliCtn2ijX
aW7DMTfBActrW9HcXXlY0bm1eXqgSA0n2q0IB4zhd8X4bWu3WnfKzHL+2qlqWnNl7a+1yrIrWFdm
kM1dd9vYnbYuO++2afxk09vzo4bX4GzOsbkhzVaeNXeG4uBjTIAji9nX8IftxHitHIvPrhVW5j5B
Vj0QOhoN8UQCSYJdLITpUwVwYVWaryYPqCsC15SczqjIgA2ZjCnWE5j++dIjL05d5L4ekXCCHlLX
V6GmRfNDRrWK202ZPYh2TkRFe3KiPL0XbepFXY7DRHnDeO/id9v4BrLNwJ6WIQ/Yc2o8u0Fi5Hce
k6lxQGf/qGg/e1t3ykwbsiauioDwpcnbSqJNG8ARReds8dbO0e2Q2fykVSdDdHaatseKWrTleB05
WoTyF7axjGFDagMzJBmO9pNZY2hOV3q5TIDHVvnmQ9qPmr1tluTsV5q+XKiYXD/tAGw36ts7IPJl
0eywFGZPml1nd/5QJLtWX7Jhq8K194Pe5Q9uODEbDC2TucfYO9bBVnAwVuM8LIMELfZ3dmdZhxEn
IeHVyt6bhQYyTmVTMgXF7Bv3ZlwBX5bN8j8jhqE2Zzj/4phlyNAKXs9WZJZ1UVGGYv4V5RRk0Fwu
aqmXh4QG6aYrepS0RROGPOweoeck4cAUcQfX2BpEq6PGT0rUGX63LhkEKPJoYmTHIGa/qJZ/azqt
vJulzoYOFmhfB8MwFjfKEvXvC4T7kg+SRNvMFNWxZvSGwx/nKbvLaawuPNq0V0hJnGf0Z3w+Kx+M
bQhj80YbMzcjJLvgs2mAfWJORle8mV4LEFnv1HWegfwNvLmo7qICqv1KUkYYvDwyKmxC54P3pe4/
/Zpf9Gss57138f+XkH1O5EtVyqT8Vkb252/9VQk6vwHEMG36KzZzG6js/6oEffM3j+LQxFpoIfD6
DrPhQnJnK0ddwQbbdS0quD8rQWFCtaTaoOAh+WqpMv9JJfh92STAv9mgGmjUWPw1g2bF9zWMaehx
1tuxcyT4u923haGubaNs9wRGZPO6a6VNEfyvE/SDmvBHB3RpGfmCwslzjKU0/SYLNONb1yDo7KNl
m/RThhEkhN+ra8zxC69BGv+opfnHF0S+y/nyUfB65ged3MLGBlXuCkaYsfOc+hzASlPjXtrDr1q0
37eP3w/FpeZa0znWSTr98NXamK1tnxniSB6S/Zy4abu3MQDVUBQj49zNs//gZqlxbkO2yz8/q9+X
on8cmjxI7gZPB9lifLiMY5MNk84Ce5RmKi5gCBKHCp3YCwo408X65wf7EGj7fjTuQJqMcDi9Bfby
/TVUJJ0UrkrEcazg7rO6txQHY6qTIDx0LhK00krr+FAoJb311MaDfGQbDsBR5Qm1mFn6lz//RH//
+g5SbIe6gaaoS8jw9x8oNWKEaOCoj94o+Lo+79OdrmX84392LBTk9Fa5hblxPtxQUWrpeTxN4mjJ
0Tj3QpOvbleoW7DIv4otXs7jv/c0y3l2lr2FsG2XsYRu08z99llJurrVnAr4NPSVN2liWehZAX9x
NX907ngJGe8H4y314WLS5RBANXJxnDNZHVNvoEXiQfxcG3PGZuTnF8r4vjX8x1dCh2+YDt5Y633z
++1XggFpDDNDtiMabYBx1sAxjVCTzipHI/Lk4aF4Fs7EQ5r49JTizrqIBgIefvExlq3ZxzOLqtdE
j+bo4m87U/y+ZhguVSzZdss0pzTI8Qt977LWJHdo4xNPnWUmEzSyCiYjeH947VomO94g7f7nn+ZH
V4CGuQ/QhCvtfpTMs4tzFM5bHt4hVLcIjBEgYR0+CuJYNv/8UMzmaIZjWrDMj3eUqsGPtG5jHRMi
3259fwn91nLg1WuPauf484N9/6rn9S1I29Zdn40ih/vb7VvHXZU3TU0cG0YAUjS0tn4Cb1s/zaOn
rody4u3w8yN+nOBxSJdgFJ0lmEdHWB8HWHU2s2mlK3rQQ/bLwis1NCCtJEdn1NRtIkOuq2XPYCO8
1LxnS+xvCtVVR1eDgBl4idPsiRVkI768QYDTIKCYZjOZV2GszUaQGNWvTpL9vsT++160WfiXHgk3
og9xhbHNhxdK6alUqMISB5nrqGEWNGe1QDojQ2b9qtKLCXgnnYMWlCcYjMnZLKPLm5a0eIxzKfqE
VViEXMiQTvvrbBVILRBjsjuIZ54rs9F48+pIpAd6sCPx4gaYyecm9tQt5th2zz6we211x7pwUahh
RwMGfDGaafPUYYQ4epGwDm3KCXyPabyO2Fa0G5oa/kM3xxqjGkRcxt6APELL2o3bMSj82MkIp0tI
j4z6BG56XjYcw+NMgyhmQt4wplqJQTBh7bFun2VcLZGPiPSepsrtmNGEs+8cxtqqjgRbFIh/WqOM
D1ked68Z+Ngnty7N+kDrdbqlA6euCbPE5b+oaZIvxuRzyRAUO0veEfOShyYnUx7ErPMMRJe7XaSm
/TyxPXlFS7Ss0MNgPxfsnV7qOTT3Q+M2twz7sX6NLtsBBGYDMyofks7o26wwxmQY95rV8JAqz7uk
E07ephKc0TAJHyZB+nBoWfK1lZ0XaBV4gQ5HIbSuMXRvpWT7ZxKz/Fr7YFNXhUOfyFCtfM2KCNCK
YxFpPkt4i2sPNvBDX0/8lIaY/sIPS/5KkU7wCjrOm2CEvmjXWFHxW3vbWjo5cZpF3KZ7kuPZRWKS
584mjZnoy6KcZvcQL4WJlrrqGpSYTxvARKEEAUltmLlpDhyS3DijbuCuoQluP7tOxtlEfFV366Hy
IJwMeug6h3p5X2oDCJedFEOT70xl8mEs282KDXo++epUMc9fxdY3Ik/KM86xVuRcShtFPyZJrxkD
dxKsN10Wot00Sot7GbSj/8COij/rddijlWbRwDM81qKuczO1nXAXYcwrbROphhXNgM7yOVq6UPYz
tnr72Yl731zJsmXYZE9Ge4dl0dzP80j2jBk54kuJ0/Tem5PplDekhDRSVcTxQO/3tgaJngcsgQOA
tonDyFwpwjZxaqMxCh1kBzOCYgh4QIRdWO2kP3v6sRAxOCPk+/46sSUhd7YmkI/N033mYyMl46Wu
DwhACdbknqRHosvypqulV6KO7ovfK7A0b56YqwubsIkzUQpIiCeVhgpNO2+m9cxobzPqIM1XnTbV
j8hBWrmV9uS8qNk1AtmV5WUlSYzY0u51wb71xDgaaVXuBrBsZz8dMDRjOo+/RBZtJvRYDH0cpOBN
OYVHY+rcBhHj6DzVSdFtp7KevzjRWB2AyEcTql8xfylRHG5s2yS3Cbt1G3ihvahux/IL0me3C8oB
T2amt+5uKUbJEFfNEn/aFtqmoQYEWWUWW+hi3fJiCiGHkuzSZ1IjoqypL9I2ltvJ7qffw6gaNzhJ
tZvJr4rHJBvEOp/IhalLAENpswgqs/bZ7QTPRzJrQYj0aN0PrbEt6oo/hONDwI3n9U/7Blt1a8H2
dtzcqhjUNT7Bvwh5XC+iVSlVjRgfhNqeoflkB2UyjCsRhhwInHQYiB7hrFdhCQVjHwfA5bUNqIH+
U505TU1ah9z2CHLWZay/5C5UVkQ/YOR9Q22lFloBymRgoWFX3LAqzbigeb1fOqIZwZbrXFE3MtPL
ij7ltd6Bfs5Bilps+anInqewM86amfJIANm31aaq4a0fHRVSYKOE7po1b9vuNaKrUqyrpRsy6TO3
rN4N/kOLEDzaeL2y9c0S2076G+JsWBKIpOe1aWNIRkRKJ0E12tqFMbzHEct67PV2yFRtaVhUbb78
NUPVcpclHa8g3sYUZnXF21axj8JoQQnnDLOB13ppm/Sxje1FEaW4t42sfqprbluEmmiEkF+WOal/
TUQ9F2OgMCzIsTzzsayLLzZc4/oN1oVYyYEQ703udnJTpmL8nVZWE63tTLM/+07oXyBzJRceqV28
KlWU9GgI0/irHLrntLatjY0YOFqjDGzkYw4GXrtLZsKP9qQGeueBoPa1kyfZJsbGtEe6CkTEK+tP
s0+uMxHNYvw02G1x60T1m5nPj8oUxlXWkZPMe9XNQSC3yI372nyNujh6nZNkvIsQLdfXPPHpphky
EMYicgmqGuIEXl2TS/fg2AmdJDXmNUxnh/f4OutJLd93hB4dRVNNJ3QO1q0zq4SkxyKjk+NwFdI1
xY7/oJUDamBldPlJta24mpM5v2oM0d8WCV6gFsHnixi0fFOBS/ha+Q7xO1gjSTUJTVqv0rOSdRaD
nR37efRXRZPzumD4HKSFJw5EK30Na228G7sog0Tc66c2iewv2eggLWjz2GetLCFENoDAzr6YklOr
bIsAelqmq3iI5DMOi/oIhdfflAlQGsNBC78SDBrancErb4sCu4eMj+OL3FPSmNU2zkuMZ1ldg6ex
5jsaXOElAcnzTRczNfBJIn3q867pN7qUIjkoeJ1MUypdc1ZeOHrZ2VH6WO/8uJf7JYPnEg1c9Qmq
rOmvtazHw2Rqro5QnJvnPLLCv6Gekqe+JiVCsRAey1SSwIDdJ5SrymB7EfNy25GdaaCRo7LQ1tHg
DjeROYwWuMKQqbDklfeUqc6CBprblyoxeY1a+kRnsKmHcgwABvbhOgeIfOrcabYZ4zSGh6gTRxOh
ZePvlen0IZicZt5GdSQuhGjMjZU78172bnIrC6P5BN5ePnj5JDaDmoGmpXjNMcIT3KPHMQ0+1H6B
hdwZfnpIQqhedKxDnY6KmXZtkqOGUVTWM/uUMof/ubarMLkiP1190ttRO9lJhzw0WeiQ3jsoslyY
kQ00T+wyZuLLXc+9+xYiRP1ce1b3gqbUfR2dzkm2OqN+uSbtjby5tMpBuIULsHJ+Z1e27xxLYn3f
7AVtKd8plyQWdYzCF/ZlVZVNwPwDIqZw23adsTpfaSRabcx3dqa/YDSBoIAtYlSD6NB+J21mPVgc
TYDfjN9JnO4C5YSKgKkC9Wd+hcYSame5ADxjDYQra7aEX1/8QbNX8Tvb/n2L8Z9e6C96oXjnHVoD
/2r1Bc/d83/9Yd8/Pxe//5//dRtXr7//14XMn8vXb9uhf/7iX9o147dl6rx0Gv0PPDXXYGa+bBnZ
n6FsY5f8b+Uav0EjxPljlG7yf/3VDOXPYTI33qVu9j9phGKe/a4nYJOx6TGmXvbhtCl0hKffd1ua
lsFF4aON1VxJXQY69o4BYZdsIs8HBWraj2MxLJmAdQLppH7EY6dd6KN7NitckGuQFKDvpShumHWU
1/BiH+xQJ6+yzpsUbc/oBXOvWRcthpi1mDR3m06M0jzpnuslP4QEh+sUa86zbxUnZ8xPaJx2YVeH
QdfaZNePBSr4oQfm0iZvvd4n54LzuG54XSHIqRosSN68YkgGOFafj5WvXzuGtHAfjc+VGtXKzlqA
nlgF2y55kzCZgsKKpo1beWfXUrsxcWvoq+UbmQCn0RhuYYkQMpv0W2Fmp36ar0U6HfWIn2pTjGBx
8oyuDndCM7/YXYasyHipXOexmeS2ysMcVlpsfYaHsU9az1ktE9ZNJQlvLjXvDKr/MRvyZ5eKZatH
463eZqflDDCQ8QJiWN7S5S0soy7dWjlgNqsYwURFvBmGcbjHTnfrlYpBselEF23uv6CJ83dGLPYR
SZhZb1YXM4TJNSZ/Toy+eIWTgxn3JvxTde+AqB9r4EFWdohU/tw26TOu6LMbW1Q5DkESgi80iuSt
6qZrkXOtJqvbNn5NsIbIDrPoQyaZMShbk/GTWXGizLgNVyF1/AphXLyBRYQflRHasatRKEXaci7j
4pkXPNsHsk9WODuYhHKsWvADrArXzOyuO5PYGYBNhofFExPVsXYJix+y+M3K+THbSE5Zpo7oKO29
x2K/ShO+YSWmhznsQubsDslCvsXsV3KgIfHAsvpixkyaHqppfmhFE6JjUvcFKm81lWwK4rYLsIs9
w2vyNzglX9CdHwczSpA0tck5a9zHROlfvca6wmpsrJ3RwH/R7WcSgvaNGu5xXe2TpO64Ua09hRQC
fN1jDt7BDur7+ehUE2PDkevpWygyfJc7QTGbXTXIqVcM4x7KyHjxrbEj2Y8Q+y7KDxhD7hlN3guV
vxWEv651h1CEvlD3VmjEK+rRepubSyIVwUdrCE9AA5fzbpTOmXnLY9WUOIWFfa5pwGzpz8IE5drE
jJhXo+UQIdouUGBuR0RT59rU6i8YGn3c6jEeKHwMN7iXGf+pCIpwI+w1C/2wb9xpOBAnM1xIwKoX
atBI7Y6nfNPMdUHseD3hZsqHQxE3cm1qufXSGZBRh9a5NLysRoGnKoaxAZGAdRrQZLICN5vH59Ct
iCHArkZSbYo59CErw4dCaUzzZiFhKIG2WYNyO4sy+9JaLPeZIjaRRRGuahLU3dRuGvY8RtAiH0LQ
o9qI9IQOi63bnHMtvi4rLLs4eh8qDdeD7G17M/T2syqn9qUsIe8QwhFv6AfheMRFX9N9Aepf9AE6
iPDa6GBmRCW3/5yaL5XBZlc2BQDfQV9DXDS2BPVx3ZDBrHqi2WmlosylePauhO72OyC1+Fgz99HV
HLLfm/EiHNo3bWyPwskO3yw6v5wvLW9xpjm+x3AVPbP9t0kIASYkpo1ZtacmxjLRN9069NQZ1tZp
Dg3nF/3s71u3fxzNZ0GDVK8LZiEfenfIIvvSAci3h9deBaWRHdB9wPe2eKH//Ht9P1x6PxKabW/R
bOmm/7cm8ei6ykpxje3NLnv2Q96Gy+s4NUaAjuwQqwv+Td/+/JgfCPzLubQsjwXc8tgC89/fr4iR
VfqxR2gjSkU7Bsw23FeKB1uzxJ7pPwlUfF8aIkemhL9UVy16rW+7ou/HptGhu0jTDVd8GOnQxxvn
lM3Znn2EFaQVAcNTCDWb18UxrdJsr/vqZZRqIGFqGA7pgNuq9UvKc0QasQN1t5yPqK5YdS177/vM
TYA9b0xvPI7U4Yw4kDNT8ZPjlZ5Kp90W9nCriuhBR2ITOEqcey/X1qqqUCHYdA8jmq5rAWMi+PlJ
/sEtBGKE1CjDMeiRmx9uITNP/AKlTLmPTbkVlX6NH/G6WBxDvzjOj84opJCltPJojX8U/fkjkDn+
T+5VHw0E4uLryUjERkeuj7zUTwPpZacuWoRlw3TtdnpxEy/zATFHb83Ae3kpVdKMAoKEvCMWGTyk
Y3+v+c7ZwoAae7zubdpH6yha+krKVI+RbU47epo1Ea9Tcuz1Vt6WmXpQLcs+1nxx6BKPNohDY1iU
yRtWWGdFvhxXEWLFTmnpW1jND17Ub+cO7S1ZAvt4AtpAcO86KugiWbU6Qi9ha97P1zjiAdeZ/G28
zl/apTHjGtRYPz+RH8Ya70/FsvN2Dd1zGep/uGCzi1RHaFa5n0e8wJQTijebXZu0aEfrF6OhZfj2
8Skgb0NwtVyiNT4O51oCxd1cTOXezoZbIZNDUf3qhfn+JH04hsuYFtcP/8RXsnyGbybySdxkXa7r
5b7yh3orE2WuRTi/LG/6ZLamXdeGBxQsaEXN8xj6McbS/KCp8DOc36+eg0neLCCAenlq7YeURTxG
l7eqp+KEBeJtdkZr49JQ2+cW2Q2pbSF41Gd5mScAU7z6k4flYOVIDyAtsp41KCiaQwY0DwwX9dZs
GRFYPopCwAYL1CB5s0tuwSbJToPKDkiZJmZXKQUqYRfKNuABok6nRd3dVqUZb4Q1/2KsJX7wxHIt
fNgUvIeF+DhEY+6wqM2Kcm+Q9kCjp8BmCOKcpkPGd445A3B20yCfvHNhI3InTlkHhF5cdSn3cpgh
snPKfjuGM0pIx6gwjeiPY0pOhqejMs8G5xz2rrPuQ/sc45UJCGXS1nWFC9FNpwfdHF+QHK0SN7lT
FtWh3/CFW03tslh/mCjEVnUY1zsrH3d+Pd5GNj7PtOX+FDUvPunQ4gRtmQL0QD9q2vMDnNHh9I8f
EtaM5T84iti9md/fVGPUuHk3EvsweiVCPLYf7sjHEXhewjr6xRUxjO/nue+rI9IOYE22AQHnb89k
I4ipMsGs7FtTlpt35ZYXpge0n3vf4PrMFbfkPLFBwgjfAQegAozyE1QFIrOrkND40q/X6FiJyUZy
CrJW0leYPEg8BjMO7wpzs2TSRbWvysqiByNfiNu+VTk2JHdZjLnNIit7DselSh1x2mK5bXpCAlRl
rilXN0OXelsiXBEcctfMQllBYvODPiRKR+v4jXoctnXYw2Cau/hCMSN93wSBdqqCscuqQ9mP9wk+
zADwQL9GZovjch7v2y7SVxNBEb413JNffN1oCTxGqjXD7QOi4Kdg+Resyg3CxeWGrPtha4hWbpbH
SCr7XLnjvRMtGwg6rTxPjP/zhmoJYdtJNZkXuDU/DTXmkYh0HrEORR6BEC/twrLuOcFpnpwSiz2L
ryjFRS4e03jAnCwwcVbI/fATa0SSz8USVhPxAHddfmBTvCNwEkIwM37Q0vODM3YnOkxfYjmWh8yw
z4OEbmK203rZGKlFBD02LUNJKvu8E49mixLwF3fuDx5vah0gXQQEc0ctKcTfvg/zCRyEKXD3SBe5
pxxupc66N7DNCm0e66X+et9qVwSPbDufSu/9mS9j5iajBA2U8mtYPIKsK9ONn/mBNxDzGuRd1KyR
IpQbX/XTnuBfjQ1aRuoktNxNU+bRC6Na/8TUn0lDxLrIfJW5Hu/y9exaZ1PjHZN208NgUW7prYX8
WE/6tYo6siI8KuuIjSHrYWzBSkkjymzYW/fdwBu0Nbvb1mNL6vf5Ce3qrbD7ZEdusNokbWYFzTgf
i/j/sXdey3EjW9Z+InTAm4k//guUQVXRG4mUbhCkJMKbRAIJ8/TzQeqeUZd6xOj7c3E6jrrFAgsm
sXPvtb41PuZxhWbI0AjPaOYvrlzafdf29x67g0ORudeKlwibzOHRInphreZ776/36386bO912Gzk
VD/dq7902G66b0nzN6kht+H6I3/21rBa/kHCKv0zNggWE3ju3L8ol6b9B3czHS6HADCdv/W/3TUX
XygcO3iWiNZwjPI8/G93jQUcK5jFfuo7A/NfddjMs8oJ9xaKDA8hJLYT1ujzUrcg+L0YiUW9zYsA
UDPAEx0QQZcU7k0Qt7Z9Z6NHkNyWet3t0djS9gPRmLlI6uGmTdfCAuvN8E+Qtttn+KLuU2r0cnpy
fDZ7bEULjPk04wtYHasHvS+F/hVq0oiihkWX4GRoSStxCkcq86MmNWEJRU1gM55ORX6qmHS8rY4J
hhBS+K/a6pmnZk5OHpkJNLETUhx7D445mgJCrjDdW0EJNwY0DRwLyx0GehpMcDDstR0+PKwHHzys
/BTe6bZa3f316vN3V8d/tnr/p5UC4Cln+AybxdzZGEkx7dduet99hwjIlSeghiUOtq05Vt3OavnG
UJFJidlJUbbbgMHAhcARmqgs2fTJ6L5mK85AKjfNrx1a41u4Ed5N1ulYTeaMvt2mdGdSmbw0hY0S
TIECJNJn84Pn9H295UrMz/HMfl4jZnCASh8nD55txQG7TELWoD+l6pi5MZg9Ak2eyQA0SD2yJ/2Y
1Jbi/Ulzf6MbOXgZr3dTQl4yq32au6ljZyByufE9xdtA1sx6NMdvh00VL0AoitEbEEHb3BL5kqGo
R1cul23uSNltGb/Nn/phFu4t38TUYeeoatoGKzIDiLO1Y/aNkoImxhtRyfYuXUkbMrMpsxILTYPI
hi1jeO9O8OZFoJgWCa2NvrkjDqk7zQ0bQb0Sxp22Mj5qVbmn2CY5Pew6GCBjGxjbiYcGwuGKCUnh
0aYFaJXAN/aCts8lptN8vtJhY3vtibjpEW8IQhGJ2Y8TYbcb0Gt1e2sXIqUzWWcESOgWkUOY+RAd
dQSvS/uSHuY6aUvhz/sU0AZoSlTunL07xoVcq8VQ3kPFFBzZhDYF7ceyQ33BSo3WfwanFYcdwxPI
cNOEfQPRqWxOeRN3waXbJunXiu4VDt7SKzxeF3OlXSoHBdTaHmmuJaFgl8T+phduXI8vTNTJhy/k
OOxmWCDzcSJKzVkdtTVJrST0QAuDqgaFUAfPE/YICEgVWKnyB72rvH2dZNltNs3GskmFWn3SXVzx
ZMfAEtizzVm/7fJmGAGDAU6/XJZsWKH3TPQb3I3WtlWVMjY6AB62DFodJLduTX4aPeWh8q6mpRqv
S+noUVdQ2KQJfWzuOFtThPyQkEDDNrvWmqYEyYewhGmSgSFsCxJxfDaZxUZMXkVysnV5v0wU5XfB
oH3RlqDmmUJwOW18lB3Odd/gY9/3IkURkQxz8zwB9iZQdh7Sx2XxzSayCWevI/4lI/lAq/v+wEo0
P9gimJoj6llm9FlZmuifgBytr2NGjVbTdm904j44g+tfWuhFlgdVwLM5jBhfm2MXz9PWbzVy0KXU
aVrl5p1djzyPsR2Qqp0nrGbOoNdhMYs8WibLP+WaPwO+QuM2XU4GNgbPkvVCIlxXRBD85K40Egjw
GdeqYfgIoMJcbOuOfqWu9taQllv2/+ZFQ1DhzvIR4Ow0WDMpsqHJeGwXO9vqVmlynWFF5a+d8PKX
XO+1D1ZXqk9rfke3I9bM5lmzJ0VwC9z+yqCoPXYEdWxKa8jlDktP0l3wF+whNLQWYRBEAoJmQxcf
AwHsUgMhQxgvdB6d6UtpMzMe3HRjShf7leMS+BbWqlUHTXSQItFUjAk5bA65AldN3TIY8fFEPRqg
+j+qEV8UtzA7MTmtsitA9gfgb94ds3hjS6E7b3szFUeUF55OYgOpcqXmAERbJyX3ZJnb12VlYsWt
Oq8yrgCmNVdMOt088kVjPYue3sY0gYRkMoou0MjikmA2Np2kTql8Gq7AAhnXy2zIe3Lc824Dbm9K
7rBVx50Z5nY5L/OhsrweDdEGdn8Sn8hhH0kw9AvjRxfvP/XUO/XUmovEtvP/nljuCWPPvr78PKz8
82f+8m7of/AROqsD9Q98f59a6y8Xr/cHBRapd3R/DdjgP40rLQMXL+Jwhhm6pZNcSkPlz4JqrcKA
Cq4qfSguK6Hj3xRU60bk58ZN4K4BqfgoHGyoln6+x07GCdRg2wzQHAaY86SHoLZBUhms9NoAAZbT
1Zc4gjJe6imN0J/O1T802leY8s+Hp4gjxYqKi0B5lNzGuRBeCFIDM+XJiBmNtxtFUO7jMe/39khT
b2PZi30E7w/VTW++lc3o3Rd9PkaJo6uralkwexVN/E5rbqWp/Po7rfUqWOSAE3PesbY1TYtTS0Z1
MtRHvXN2gY7YaCEZ6DomamaTItb59H2TWwptvkElxxAu081t4Ne0V+ryW8lDel3AFEMw+HnINXMj
GDY9zPXAKLfPnIMDNfNUz+U18T3vWSv++Qt8NzJz3+Dz5o77efMZG11Qzbj3IpsZZYKhcT+MdvIh
HWlxtqy72xjbKLRUtz8MTVed5nR58TPvUXZucAQAFW+IGVc7dDTBXbN4zSOqwm+LE9cnywcQOLbJ
TIpurm2tvC/3XYaI7Z3b4myM/uO2+OkbnHd++pJfuJllNMP5OCHjrU+9AyU21/RtT+3GTAYafJ7r
vAkZZMkVHPr7X8H6x7uAbQ4beB/p+apb+Pkk+jOuaqSEMgJm0QMOw7T7StTUrWfTecGK+ZXKYHqi
lku/yA46mkpQtJir3JW8XSRNe1NHsNWxJwoZeI4ksptDuzIP9WhychbsPDG+zbVhRF3sPZA/vnP0
HDuoFqCaQVxrKEe/1ByjPCxN8+Ip/cGdOVBiG8OmHSHZvXPOz/ZV6ynH/wK4CQsQjpF11fv5+6LE
94oYY0Ik8vKpBiOv8nKrLWQ+MdW2dr8/u2ftkR8HM9lGAhDgg8/bI9AH3XoVnUXftQKZTz1nkLxm
T8t7ZoWz9e3PIzHPQ5GBget8/ITvHSpz7HAndcljYVjJE8Gy6ISrGRy1MxeEf+mu5p9il4nw77/k
GV39x6GxCngrUIB961kPqE8yYca5vuqhZijZ/u3kCbJl4zeEia+sq+57i+l6iX5ay38c0DHZMJis
6u55TzlQmqRxxi3LWl/fD1Z3bc7oR+casq2llm96XD02WTltk7n1dwOZnRtFPQW1eXnnq//jzYS3
kC6ChbvpfJOeDb2CSMfzOzJA3uotDR8b9kqoZXA/nTR/+/2ZXp/FX7742qsI4Nf8ihyj7sQzPUxc
ZHaIUdIa8WYZ/PQdg9j3d+H5YQxel9xJnF77fMgB1jBpYMrIiMYEka9qSsnMowXhxqTdjZLw4UTZ
9EhnUZIGQx8TwTQTdqVdLKRFv/O8npMjvl9t5tN8Xctz6VWePbA4yWPTqvUumg07fW09Gqvh2CX9
jWQvXYWj27juphn4AAzHAcp35QpAWMRp4D1nH5cWG1iw45VKLTQFZt8PxsZJMBT8/tr8w6OOEIrR
truWGL88gIDpMRn4MJXIZOzuyC9x983sxRd511NV/U/hdfvjQvycUHI2af5+QgyPFj09fOCm5yvY
CFKJRJ+CywNfn807vF/ZLVezmgn6pR+5aWVVRylGtbBBFPjvlzQ/QBjBasa0+RfNQMred3ZqV0QI
Qrr9YC9qh5wZd3jsZP/+UAErtcfZpKpE0fb3pTrLDdkKHFhRv8TVG2ML745EdNCumqu/d/n+YRHj
8mHPxOcFN//cj2oupEfhHiRy1tKTbdzX7UOVoDnl7Qb/f6pQlTbw2X9/Jf/xnvHdwIZJiTQvOK/A
Er0m4MQR0WwaalMBcQAvU+ED0AlS+f2hEPn9unhQaWDtBZVDDsa5ZM8v7GZIFoMLZ3e62LsEuhG8
ntrjsiVHcM157rAguCMDzo2w1KjtRd8N026ZPKsi55Ft9I6pBTjOGCzfR5MEzXTb1YU/wAEHLUUa
lEhfCD6DH4upTu6TtFx5A7RpkJ/zlYi3cMl+3uIMQhU1Wro1X3wHF4CE8ZZdA0IrDxP29Y8u4Hxj
S3fLAXZmVJO7s4I2NZ8Zy2fVNzc3bcJpWtSw6QVIEyvedlnRpR9k2RjzEehu4ESkZlT2TtNb41QB
5tUiORRKXjtVPfhXNs2x+M4lfafe82eNbJqxk8UUDjaCvm2NiyK5Yvq/ppg5VpPjWxDlg2J6T3JW
rTUHEM41Kp2kMzsMGtnHSjIdCafBbvIjkWFJizegaYr9XNC32hHJUHeX+ToPQFLPmLGMpByh4E3K
oX/RqDnGFoNGQL8x/Ko1t23lrMVVhkX7xSN6ErZ0TMw2KPCme2idTCNZsZf5fItDSj3Umd31u1nD
rXGvo/0gMXlWyXCkiJ32wgfovgddTovKbpMFQ4rMA2ByvKJ2ZVwzutM1M2BILB3/Q56KcjOVVWNt
pJ0qjD4tsQ+VP9wZXbYflNM+xQivnkvN1+/72h1x02Fg0FYkiiWCm6FcsW9yP6VefR97QahsArsL
mniRaRcQv4Kioj2kTpaax41JkmIOR5wODUSuIZ+sfWVZX23EnMSHzwiobQwyrhz1XWBnbmQH4Hap
mGlz0eW6kOSQvXo9xih7QIZVe+plES7zM2tidElWmpOVHwnhAD/nilsnoCNsANW4Laxx2RDMZ1xA
Lk+vrJHrwW4Bfgd2tAkFTORoBnkMeK3INY2PcWCTE54XA0WF9DYl76itlN5yV5TTUfQ2jZNlXrnQ
xU1hiA3+n+5UTJO5XfQC4HtP0HuexsjQ8HpdjOTIZ1zZW2CB95WWTjtjJINiWTriILV+wKADOW6h
dL2Pk7L9XPtSv6xTjyjTHmzdpPfdm6sJWBe9arf+UJSR1zTOquvExQfv6GjpGQkTs+fvukmdTNw1
mdMa+8KZnyt9gBycxQdCKR6yYX52prjGKhUQcjfEzxVME0DDReUf1eCRgKeJGOS/hjHLj08yRj3n
Jo2/03NI6+UoFmRV4N1S9g33WaepW5F0/r0cJt7KFhEiM3TzclqANGn1NynG9oBMPjtksqoOdeWr
N1uSJTNnMEyKbaGyfplBI4kacnVIpdkl8a7Jgh4Ylp8uocnN81Qx2CadRrCP4FXOIgGXZ8SHtRTX
YuQuy2fi/GgLHYFIzTut6Zs99Gz/gv/TwN7ndMc/qEf+DwYSkJiViDSbsQ0faZFm9wnD9R6bp5+E
Guq7NvJWvtKEIak9WEVpDtvK7zwVzg0+3ks8gAgHC8/vAHTPysG/22Q6JtNGZIeu40zRB6zL7QJo
/zGFUnNrlphp46ousiPY9m4HzFsAETfB+OKnQpQsmumUZlJ/dVfnYBgE5G56C6kFLa++Lz3iDxeo
cNJs8tHJrEu4Ae6DrYr4LQBIAyarht+FqEHpW2b40weaGdVb13ZE1c6VND7XkwdxaWidG7A/7Sfg
P+NWgt+OeuqlR59o1U+KaANuxhIbVW+K09Kwn86m2j5CxpBPpulYWphLrLe9wtIfpkhOntPEF19E
axf7YtLEsyfM7JB3cV8ecV8V+wyT25PTiJn9YTOOW7iUFcP/RfJwlKZGEoxuE6Lsus4mp9w7Dms4
AbYsc8euNOhIjzFUhVcBn1XYMwH/KOIxWXY+HUo/DKCcZxs6yyLYVPSfjm2dlus9qI0ngpjTB71K
sVZ63WDuJadT+1hDGRk2XlsE6UViLvyqbqE+KnMaxqskjpMb3EL+FgzWctX0q2c1tflUKECRrWfu
g+pRgoSUd+IEdJ3AgVG2n0HNmrtRNc5N0vGo7uqmWvbLMBX7sZnsKvKgSN6UZau8TUviyw0PkeCh
4uq6jiVORRXYN4yZ2tdOJd2dvXTGo8w43xkysmiZ6znyU04q4Ir5QuPWvGudrn111h3mpnaXFqCS
yLOIM5sdnImsWFcDFWIgYj61Rh5cLkq2r/3cds8wwc3d4nkCdWqCdm4hD6MMRV3Fp4RuRDQEvfwa
jNK5sRehoYwm5+Zmyhy8v6NbVfNXoK42fB+mbBagVWski+HS4LXcbscgJ2U59QWD+jrNa1aoAd8Q
sdT0xjEN3mS4bD60TLqu8W02+CbdYtuvUZ0ogtCchvDD5FdnsMxdQoYE7DY93ibaoC46ZL1kq+DO
8bWcdTEhqcgiCWrb6lpyMwTwo5gPOdT/te7bN8TelseuwOwd9kis8m1WjPGJ6QR/IVbBGgs8lv02
x/A2hAvPOW2sWj6RPzy/MXODU5EgZI7jmbyTrl/v8iFtyZ/CC/2QVan6aDc9yXYjxtxT6ejFvd93
7YuVp+6DFizERLf1mN7MblUbobTr7rkUOOl9l1AkHerWfbZebpPA3ksnN+J7YSsOVGjznlQncOUU
GemNLTlrPiLrWz3R5jd9IUlEm2ynDq3Oj+/NCnyJ0FMiS6yRT2yW4p5CevrAnEl+XUZla6elI1xs
p1Xp/OYBm6o38ZDCTaXfIjuEjNjNNq7WwHADv4bqM9Pc+N5O2WCE7SDFfMTEgY40HbiTFmYJLL2u
zZ3GmpXeAFZqjE0FA/9Ws3K9C9Vccq116TPzhPDv15tA9m+Nr7FjU3qVE7Q1ijetyY2PdoLRGmKv
8c2F9T5sePTEHavF8tbg4iRY0ES4hnfCGb6ZDHAdrpnHvd+2nBaXN7mM9LEwunDlHD4uBFTdB73O
aua50M5aX9z1MUlhgzDb617N7SfsweLO6P3kJnZXWkGAcyLD7gfDPw2wevg837WW9E+CHCb9rtPQ
byq2T2uY+Nxw8iApXLEnjvfIwhic07D26Jv2FkPs2PI/LxByr2OYvJEqS3WwXeJfBK/NS6uzARMQ
MZfd4l9o921tyw9di4SnW9K3Pmn4V7JtWwIiWuvVCRJnb7e4TlsbRT3OVQKnFUwA4lmwQjiOjVCm
4znsrQovf9VNtxQhY1jbefyRaCDmR1rz0Af2FSnGjON1omhI2ejQHQX5taD/ow8pAuCq7TgsUgJ9
ZPSSevDGXGvJoknPNFJTtPamnp34wY3xhiBSGhIW3WrBdA6hX8AqOmKOO6l5xj/Bs3mFKaW7rBOv
PiVpPYeU+pSAAYorWqgvgcPsqPDq1TivrK+qtE+C2CiWNJ9/WFLsapQKaAUAjEB3eKLeRqGlT81r
MPY3TdD0+5TO8lHEjTdtREpBqvJmfvKnMbnX63Tce1N7cMFnbIORTN0wEw3ZVcsL/b/qU1F5C7gz
RlUsMHbCQs8OZ0P2n52C9C/ksdB0K1SxhjKB2fOeUCDnIjVWOtk8jreMmPQIBpJ8GASOSouciPtB
chCsv97toAd1SGN6hhwQ2y9BFrgfXTDcODy8j0Bzq4h2KfoknVIurLIZb182plcZeXCbxjCPsbUY
r6kej3vla3pENDegsoyR7qh4GCVQkHAsaBUm8+xeUFzYT7ntRLUzNXseJxbgJmd3SvpREAVlELwp
zDxPE2SI66AKFnebVPZjSx74ZqKG3TusXRdVLMuPBmSVu1lxlRwlJ7H3qAtxOnXJjkFd+22BBGJi
bwKMiYItfiA0G2uWNtUty1o7Y86pUCZMLaM6BggkHyLIQ4NJQc/E8wWnFk6hsT70hShBvdnaZTPn
092im099plV7HsV9Zi05hZqDVTvGxF/ZTvyhLBrKDBuROksgtgq/z+59vVu2RWX5F5LUU8je6S51
iHcoSCa9qVqnIVlnDGCaY+E8znOzgkw1XjsVYdE8cJA+22TKb5DbolMR+UJcY9fVbEtLcJXgi5tR
XWE5z58r03YjcPErLnRqeGNhUkFqkGnTLYFI4nKmmc2uzkOEFsL3K07Ye/R7B95iBx3iECt4D74s
rjAeQeGoR7JHbCzbMwOesB5lf0nfl8AimR+MSQuwvlvIILWXrqmRdJCvjjHWXSfydYppTfXG8zTb
3bExvVdjcb/FXSM+U7GWn6FJYduXBFh7JGDsLTUku94bqrvZpWIpIX+grwz6ZZNM6Foph6aDQnKc
nTSrGe2t8nTpHbwCZSiLhtvcaGPCzLeeveaGpgpAQdPPgbIOJV4F7lEn/1yh9LkzhY8tP6OPHGYz
C2iOcvdrKU3YqzJPv4pYX1pMPHygwFl+chAsPMywp8bnjoqH65axyWHIXPKW0KCnlC2KzSWY2k+8
LencLdjn4UnSkDziwjUfqY/ZmRZVap+SYpJfq4JQHIJ5aCLIGb5qgQKetA38M591mRvARjve9Fi7
pluJkfUzbBY24XacYVOCUiK/AlYEo2suKvB2S+HUD6UABhHKdBqbvZf0qtnbwUhHY5hSbo/UHChw
mrpsHlLIlQ41ZhN/BlzHzwTtBNHBg4i6Zn/o3Ea1NffFVkl+y12ORN3f1oxKPTYxEwfNCa+VF9ni
9Owb9VoZIFTJbEn2FK988qKhKTnaI83PbWoHsxZp81oC9LHGV2IzFVzmqU4KlAuUfdiQzsJV0hZe
dZtyGuLPqlPoXUDHgLOPEwf04TBw1EFYsJhG2wo+/ziZjtISNEOMJ5H4Sp3xp2csUxOyn2giK3CS
jSVciTfze1OAINX6AQcd9N0yy2n3uOD52WAWU3FoDbpAN6ZwJjSdzuJczF3fPDgjQWhcwsVwAcmK
FeXoOfRDulYvciJiVKGiCm5tehWoXr0pl85sOJhOm165mpE+FrMyo3qo66fKCLy7wgtEvGlbX38c
01bOh4k2fHxjD3zpg6l0bg+qcn7rrEbwRjtrqjXmf81qtdHX/Cd6//hP6MtwFpXW8/eX2pRfM3Yv
WcgvG1zOUslvWS7zMgqGDobKEFRZHulgb6ZNCSqeepfLuRxq+n+nMZOaHnIfUtGRI9uSIeV2NFE6
Zis5i0u2+hlr8E78rMb7a1MNOqTM2h9ATpjLBIkgVRbxU2sJWXq1iXaZAfQHI9fNHcwd/eRi9D6M
1WDdVYk/XcZpkX1clnT8MJq2eqet/mvrEdPXirXCl0HSxjkFTgguoULQE42DqXbeDOWfi11uZy+r
Dr9vPf7joQIGFjp9VYb5Z23czmI8YFROH9k0kSKkMWNoybRFPEN25L8/FMN9Ju2wwl04jX/vGC/G
VLSzbZOtOk1UM9Yitl3fF5t+8oZ3sGi/duFBovCd6MIjU/jFITQpXAylwwkMMtR+ajbvCGhw3ybF
a7eOc1K82CWvrNRNq9vNO1fv10HQenDa/6uugnbm2ffssTfGVtv3kdYw3qOtkO5qg4jYf3s2HROl
hEdX3DUh4ZwdRdJPkErEQ9TRwe5QS6zdQmcSntrlbcVd/fvD/dqCd0zUelSH2BJ097wF7whlAp/p
hyiZESOlRfeNIcgb6JkqNMoKrV3evtMU//U0OqaJjYeZpYGt7NyRyAOWj3AZhiintAYWHqAb0IPm
nTHGepr+Pk7jKDbkUkYmUOvOI+vxPxtQe4ohsgifDS1Nu8QPdgMwCY+WjlH935/Fn492dtHA6yci
ccoh8hWg4TXaMlHkQLQszmFDM4nYkeL194c0V6HF+Tf0PZ8+BcMMbkjz74/dnBboxUYeOyN12Xo3
dvkx0Yf46DaLj/QiKbaDuPfU7G9EydbU7XX/RJlwGJJujakM1I5ODz3I0Wu/TJOlHWcXh4YZ9+Jh
ofnNOwNkVSGWdxam7/zUs9/b0m1g9NBA4aye33G+TFyz6XmMsnGwqZtWlnAIP0XtNI1kx0zSzm39
ZkQAUrQ7s5zsz/oCC2ww/PYa8pq1SdokoGlvJe88C84/3Jq4KQxGnpAH+d/6338ymuVB6RaLU/ak
+6Y7Qm6dLaGVbH98t0fLnEiy7qx8o48u3C5SNIkur/PuEmYfrVQofRCkVtGjLXNgNDU6EgM2Qlyj
58aFP18kg8nQnFf6EZE5aCe1WlMQE24Y+cBQGzPtY6/8GA96BjXHxtNPai6TVfoOALqmU190MkRm
M2wY+wXhVLJnsosPw+jL68KeoapZS7HvrIEkVG3dxHnLQRD1Qz1M4TvFJQybdNaftE6oKK+x0cT0
XYrZuu99DBqBlxQH5ND9DZ9c739/t/66zLCtQKrGU28Hrnc+B5tk4gzOuF50SQhfMaSbzNcJtZ0e
kY7TMxgq418/khxxZRc6OsE/rDd/v5YBfXg/WIoeBUx8NKS9Kky/BLV92Vm1vSkC9/n33/DXFy6x
bKw2dBwBldIp//vxZBIodnBDTze8bEMTgc+RjQ6ZiXiDtr8/1K+3KQYyLBE6loiVyHh2myaDg4tR
NbwFfeVcNJowjs04eO+cwH88io0+yfQtjN3nl6zSKYV7BpOR5nb0mYQXaIdBJP7t77/MuTNunazz
IjcIG8EMj1317EIVmUbx2qINmiachuh2wCJgc95SmDGRADdOScGNr3tWcur8p85MooYw+B/L0n80
qO9oUC0EoNzK/yOF+MXT80ji2zcpv337WYX650/9pUI1/nBpXsC/sb/LTP9UoAb6H0SSsJiuSXC4
9Fdx6l85Mu4foHKoSnlOqAGMtZb6U4Fq2X8gjVzNPlSvaCQRwvz///dl+q/kW/OnTEOe/fln2Ybt
WTx3P71uKLh5HBG7ojqD6Y2w9e/PpTd3lpaOTn3UVCGNNqJHRzDZLtZGcur7itdBaLieOV725jxv
KvqvW0NOVuQlsXcQlU3n2olltVvv3mspbBc3tV7skGTW2yRxkcqNHWLyxJ2eK+KwBJlgjvUSJLVx
NFu93AwB6CqRJiSqQqoa6rY/0gNKIierucf9QgDKKtLNslCDzQroKCxWuwnZptMoSkUFsMunAZCj
7rdb4b/UnayOoPOI6M3c/SA9bwtPT9+oPEtuDHrbh3rOykcztRTvDmkT00U52zzTXhORqbTlBCgM
/15iuu4rboc2DZlblAIheZJcNd1M0Gje+5cT/tD7YSQsuC69OzUYwZWeW2LrV0nyuUwlLSirUIfF
A51WZOAzUKN1UecBYxgzFlggIHdN23jHrjbrvavBmlsGZdyQeXJK6oKI46m41fyYeDOSP0OoM/6u
xBASDoVwHjrdYkYqiOcgBMu+DPJJHge5aIeY1eJkF6l2wtrc7gpTYOBAzw8UVm+uhJsSjSdofufh
OA6PRtbaO5PO22USV05kt0a1N4Xl8KlyuWuVKa+8TItDWniPLDrTl7kY3J0cc3xHXiHvFlSLJA67
5d7lDbzV2mm+Jy3Fex0AX7b1/FmvMhkZrZUfaDqaEczZ+KPys2af57H7FedMMWP8NvMregSrB7Kd
0s009dWOKbjaZqnvA+7rur1wTdLk2BcwXXPMcM06DzvQqq8+uRdvyTgH+0WvJ2o5ppg7nhusaHg5
y8s5bz+kg0FkLI7vFw2CAyaExdGvtKZQFzQ40SNhMEtBPrL7axPyV1wzpumxFOgSdbe+YcjXXJWj
8SGdNJzZsDPEASFFcTc1Qjv5OKZuIMcFcAAzl+5nadOBzAyt8g6DNmTzHg3HosB52gU4uGEaTxgO
9nlt4j1Yps7as2v3N6Yh8LORNVwd5sEngI+cXSCRNi6RDeNdONvMo81tLiCgSvzQpI4s1S0zjENA
3BqzkFpcda75QsPZiy+FVU7pRWuUT27WefdEGRG56hvaUWaDHZsRYT45RaUKxjr4stj0znZJPC83
i5rkrRxMv6ISsOLl0q7hyvj98IEcb+u285nJDbuy8B557+CM7QZjl5R1cBobz6zCgDbuvG0xHt23
9JjycZOh+Ti0NrTPDyYaiYJ0ZJIIe7J1Xa/xTjXyDqnhq8vJbmeh5LxXql32sZsD9Ng1Sax/WlIx
9hu91ZJrMXuV9wRo3RSEaAOGvUOdPsRf6d3KjZMtQcgKF6bYiIBiDM0Dd65ThLC/EJAHnW0gmFAl
nTG9D/JXD4yjdvCJ2YHZ2pDMHjaMBWmYDR29x3hKcaWMSRV8rObWeSkQnXGn6LORHI2011VYi3G6
rXvP/jrbhMFFAJ1wAAGw8Oqt0jLEK72BA3JXOwWHXMpkdbdNzM5QK2HxKuSqQ9JHpresfRzxB0HX
DCSunSrJcvr/jMGbG49UvMYl5likVn9RlKOjb5tGARvyJi/ZMWlzb9jfT3vHHvkjqUZ52Dmc443L
BPSxHH3zonM1JmtF0wnihqtgBFFkuVfMm5mBZOiS0DTFW6co7R4Kh+VFg2GmEdIVP2rIq7mtzfJy
SXCthp3hNJdT6qQXcdt6+2bs7ZSGke+tzp6sJQCnHjAZ5a558r0OyUqNeMrvc9avxM12XUL/Ya97
mf7glaRzuibhiBtrdLTQ1eoafNfQ3PvKw5XsCvXJYeo+h6YVXMwWsTal6IxtMdkJQIt+keGyDKUe
VnKZv4hZvPKO6q7prLn70VutUirT/dDUhf6AwCzeT3ruf3DsRN7Z2HV4OdTlsUw8ecMsXduvzbGT
IhHry4JnBFANiE0PMhlLZ3ygU60/F56RbWUV+J+UIehQ9rHZHnJHTBfMcpYrJKKMb8XE6Hec888p
/YSTIxpFite0J2MGIVavk6zZ001ow1xZ9g5ZyHKLfJaUUtBnslwxpmB92WeqITJIq44cVTl4KQ3S
JxeJN24smTR6JKnl224y/YvMYokPaARtW6r2EGbD9DCx2w/NVd6WsEO7xZ81EsiZFjtkMeQ68gXW
IZsC3DraKUvjYj9blgBLrJygfVG+2V8BujW+KRBse4ft5K4wYuPgSmE9rdOWnRk0ybYlpH7PsKLd
dXVfXhf6KD6SKC+uBiY2tw4zi0u2AvVmSev8soAbGQkrxZXRMFRwgGQdykV9Fr6dXTLzSp/iZtCv
49hgm5dLl0qgWkg89Rt901SWfi0nZuSbjCf/1mGwEbHd716Qwv03e+exHTeWdtl36fnVwr3wg54E
AmHIoAmKFClNsGhEeO/x9P8GS1Upqf7K7OxxTXIpM0UTsJ85Zx/iZdm1o6zqzhCMUPgYuWMdc7d1
cYWuDLYkLV/GNqw31ZSD0Z1L7Rhp4SPEAsuTRa5RPNgodMWsgwdMGwdYrniaikDzDUb10DZj7VIX
bcyirAnrlWRdbQ0gdUAkZPcgVA8cHGtnS0aYPfmuGEleHyaL3FuU0t5CoiWb/1CBQgGbjG5GSy0J
fp373ll0kjX6Zui27BbMZzWh6JiMCIg6eyY08k2DG4i7ypoj+7P+I1EqzOMwum+tuYrPH0Xrf+v7
v6jvgfJQ8f7n8t4rKe9fu/i1734u8P/xZX8gMddcoLUM/jDtr6OmHzW+rX+iZbNJlrQJMATn+JNt
X31afQk4P+gKqLvXafePGt/QqPFBZzFOpWpelfV/q8b/GBn9UuPjggCet6YR2UyHf++9YTjB8kTJ
dSjh9G1VFGd+tBSuZ3bd02ylLw4ZIuxtF+LP+8n1yKZqmTjN6YUDBNrTOufeGZz0QmRdejX12Wlw
DMxpwCN4EfNc1og0tZPB5Xo2JqztxbIz9Fzb1mGlI3+p3V2FBN5zrR48n6vOHzowLUIUl7DK9mVt
T5tQ8jNFqLFuJPXL03hub5O0faIWv+/NmFVGBYbFMpMXhADaNsv566lcBq8c7OZYDc2TdFgtLggT
MJ+bws8D+4sYtbtEly8DwlK+FuJnCRESgQQUPwi8dGZncALtRqF/2FjV1PlaUz9ZCJM23ZohOAo+
XhGu3Kq80HitU603Di75rvODlkMzuAGSIPBbS5K+q1RMGwvpCJVE0261mm+aIaDY8Hp/4CNwGDTn
SEHcboOGvzXwIvSGyhB+FChspxFu7MQgArLMQvy8NbrcITXOo9N3/vqViUEmWuz2JNUphHMMpFvK
Tb3zzU4u57DMzi7J5H7W8iOzkA2YaUDTKkZkS33NL/QhTNKW8CFt162cjdrELYv3uUCaUOuN8swA
D/KYzuiYXVgmQSZ4lzfuvatpna8XWeW1GuapCG7OzkCBRj00KPQwbnsfQEU6kYnIckxky64Ckw44
iKOnr0/o0bSPlJ/3HxcJCGF0o0bdbisbPaCc2SzREniN5t6PDpJzADjozjXzPMCD9sIkNY66aNyd
TPp2W4b5dGG72H1xEmu0dvxdKE/XjEXTbV22yrdxq+MKoRZfFBdWn+VsnE3zmuv5fXLTlS/Gr56N
8QurDM79wr8BiJ42gxTFduyc1oN3ztesUdx0xM5W2UjutLp1vaZtnj7ON7swtNAZl1U38nnDiEvG
donYK+uaRAzLyS402Fnc5FzVZA1sHER0bOq5VMr1Xgjrbn7IIv7VcpIXhPGc/wkB2FCl8XXP4bIN
+57kmo4mj/vEttGJjcTJXaFhBkxgt082BEoPOKTODcfF5HA3fhwMLB8UCoK/WqX5S05UqR9oaAIz
1Zo+MRcVNtM2uJgLV97lLfIBVY30cOS8enpXVbslV6SsE5i9zVEJbUHO8zuEUXtJpY69hxyik14j
46nJw/BTm5tyHvVTPKKcIPKGq4zAPOTGRXrl0N9vdY0HAZFEGW/fMEOlm75TosbnITKvP24vPVmW
gyZhZ0xGxtu0XFfcPbtLLed0G5GLbiPSClRAuPQGud6GqVN6H+dWwN8kVgOtGbk7PEK4BEBcgiVh
OUuFzflboHPucNFTX1Fl+3OeuTtLxy7PnLjC4spxX69wbvFzbCzFHjKn67EK7nxjcZfDx2nuehji
XcNlNKUKDBTSuOcqNsXBjPioi+BnUfXSekNv8hIzfoln/jDK9D1M+f1cnbsH8nnsERrteqqQwYXW
9MWJMni6Nidz74zJiwhjQNn2WJyCVKXg87kj+kUTBwbDiD4XU55mG/+nbXGRFblenARYUW9Bis2z
N38uWh4OcoHENBlw1TMGglRrp0COg2e0uuXZnaZvgWGgIlFtcxwBtuGWxVQ8xbl2IJda9wWKGs8O
JQ+3kVNH7Ly7D3p1Rkvr7BeJ2LPqeJhUxkBwPZonD81i7I295C6yAVtS4/APYhr+8WxSLorOj5sW
AszgiVDc872jW7PhkmhM46zmNUyXznRjduX62gGmNdcTeicr5vxBkdlGtVacWLJP171N0LphcmjI
tvA+jjXubCTaOd+yl5xXo7Cocqeu3QoMSrQl1M52JoJbFEwAIUsCTpygficZZmPnfeJ/UOHDmOeJ
IbJ4J5vm1dGE6RcrYLWs7S/5ilxNYa+KEXDICmPVR1AyIFho3UQGSX1r9cSEK9YV7DD+QXvNlm+p
meUD4FY2mD5+QShRKOmTF5UwIpFV4hJAq6l7M0wziI1jlVzNYdtfxKPGKdSRZTErCqXR+4lWI/oo
4+6WFtEioNiSdCwMFKYh8eYUn9VE0nDrLySwQPWtGUdAH3sWyMrfiLp5NWINHWmoT+k77F+xAN8X
y4KDwZ3ILsADunPzFAzJphE1SSxJwz2fGIPYhryKtqxFgyt3LBe6Ix210HWqIsc+0jW2+aGbl048
zaTqeBGMzgxdgKuzxiNxAqL1nNbxtTlYCm4yAZriDj9LSmyNdf9TKfZjmvnz9HKdTf5W1yC+YRpq
2cxK3d9NZxlAwwX3SX+w43ner9pFIhscHkHOfd+UOpcVd52BpHL75z/3t+Xp2s8aCDvYClsA/XTt
t12Gi4hoRrLdH+Sq8Z5YMG30OH0rRoC1U5W+//lP+21z8o+fBtrRIqvC1XBF/zqhJfVGGPFS9Ids
5gJZKwE3DQREaqgxHz/pv03AXzQBWMwdCvP/3AXAH+meCyyR/+DlH9/+7//58TX/JHdpxic0AlyE
imIf8QNj9h8twAr10gxqJObrErWJojv4JxffBTRBwtp6HbGLI4jxjxbA+MTiygQDpljzW1xtf6sF
+MAO/HSrYKTXLCb85KszHnP+zT5bLWVKYN7M+KCChYQYCNLSZoyUyZOcIezBLlO92PUplUxMvkR1
FaJf9jLazTfeLFic7DCHt+toUT0do6UmoqNkQvK6NIoENshceBGxlJ3KOm2yx3hB91G2i/aW6OHk
biQ5y+R/m9Im9lcMg75H1F0+2F1nYwuqSYe+mPS4Ga+aigTrqEsnjCEqmyHkWOlVxfrCk32AzmMW
J62n+900lcP6PSkWta3n5hvTisZXKsqOxjBpszcnDipuU+tJ8dBDA5xsQFx0MBZm5BlWFF9l8MiO
fdbbeBf65jiUOUIOooKn81CLvYLltS2V+zgWrDrIwIITkYfl+lvNS/I4mS3FQ88woJ+nU+RKkt+T
RTYSbRvTEjwkZcZEfmMjCO0QKFNQE5XTtBQLQbrIDWeeo6wtvbyNVWyuMePMXanDrMuRDu6VIwID
v3WToLlfiII5dg10HRJQm3BK/aSRm8oYranaN05FZUVs13hVwqQBD3SwSb3CUbazVncPSCfGK51+
IAY9KmtivdMKF9Ulc2jCtRZPtmguJ38kQhbaI3pCxkrDUeapdIfLDN9EjOhlkvBQ0mPoCNuuoJiZ
xtdBV/KubRE2ZrUrpjcgPFXy7uKNfcc2iAPjGlmOmcvPdh7IndXFNupVUAD2Ez7D3tgQWzacEHkC
ziz6igOFKSIib7tPjrHB6NlvMrJsZNn4H6o5NDHjDf7OYaPFccJlOaXldoYw7Qkl5YXDmMcPQw1n
Sxyn+5QhGYuN6a6zesBHAbphiPoNOfdZ3UFVdxjaeobO0fZU4gQHrVhr3Eyfid2etGZH4dc+l6rK
XlVX47ty09YicKrGDtI5gZNtyDRY+8LWlRet3hE3pcO7T1DpyQMD828R79AOYKlh3gqOoIkCtAq/
hY2hXYaJQYLWZIo9A8Bia/PjrjJLr/YSldi5KDu5j8bUSW5QFdr4xJ2x36RKSy+VDImcGhUwTQdz
zXEYNfM67kBLMVfMjBNdxHJRBAuY2kRbQ7KjZ37HZOdoQNxIVoVYh9d02xvWCQd1+xRNafCNTCF3
hyFo2Fd4Z3zkQMVFL+3qAQH3tVnY5nm9sm8CyYsG8GDhW7W8IsBm3pBY3XmOXpk7J65UwxGotHd8
rtpNSYjgU4j37bKpjfFUDml2aDN8nnNshfskGdJ9QIrjJqir9k2NGMYrq3E/hwZ2DF716uSk9peF
dQAJtOT2icA6sT4xT1VciwOS9/GRqeoYbZJ0Gsnw0dXXHLsqbd68lOFmzDT9jvdoT4xAq78L2yHi
u+No7NIl6Y59l72yc6WPiwOKAgGNzl1pvcbnak258RSN36vhzOG9mQCEw2rRmC9djsOlcNuW71GJ
Y+YgQ9f1Ch1djz1mJNYAYyV7SCdhkhvAjtrpRegcJhOc21hRYdMOTsmuM4mD3Nh9F19Kco/uOybr
HjF16T1id4ydCZNvNZ/cMRKEZQUuISZRBRJLr+0Lh/kFcFj6o7fJKqJbN3PiwxCUxRs9hLvNNGIf
N1W+2koB4a1GBXlkh3LX5UwraEYmwCiz+VmKskK2Ns7q4PZ64I3d8uBoidyiIw/xI9hUbUkGDppp
rP6NKcS4yaNeEHwlgQ1PQAa+wk10t7qslrsSC69n2M34mEZAWUw9Ka9UVqXk/9nTK73H4COd6+iB
RuGlZo2Xmq3ofjKU/qSKJb9ZZOzeDJOz3M6FWe4obbtb1TTVJatn9gOyIT6prZu03pVlG/ot6WfP
TtU3W2NiS4BRjTC4eYx0L0p6sTFkF75PS6gdiqGwv+r4MMV24dLyFx45XtTNA+Uv4J9tAcnr6IzE
NdjOYF2xIA097kh9Z4RSPYRkhBBCbEYXpdtUt7WMhm1HE8yRdaP5O67w7rM5hDW+IcbrSKdnVsOR
bHMvmGpUj3JQR+Rhc48ysf6e57Huy6l0kTir8moiZw/4ft2clqIcz5ktcEWn7hUiQxMd80yM1lFn
FXwVaahQpaoTpPWDuk/arLqyK2f+rI0s35koRO6d4U7dYXC66VhOQWxsStyiHqFl2k3DFOExd8v6
kSlFc1v0WfClSgPw7VM9bSJmzw8Sw97KGEpAswyzH+DjBcVSkJBn8GlLjC9K6474Fwb8CHb/QOoP
QU4x+J2tiE38WSatETYv7ZbsqRA+uBNANwaK13l5OmKhT+Y89eJmXdiWhs5x7MYnY7LNjTnAlp8n
cIpeUgfLhYyl9QrbXBNeGWCEJpdt9KxEcx+J4GoPmrHwoncKrScHNmzjnRWnFq1zVd1jM8fgKmC5
QHIMnNiAnzed+rpsdjCJsJX9tzguurib/6I4pmpc5Sf/uTg+PI/PcfxzbfzjS/5ZG5vGJ9okRuAo
O3AjWH+Mx6WlfcLDYiB0dQzG5GvZ+qM2VuoTOzJAuGxKYL4wBP9XbSydT/RB5irKBcLxd8fj5q9d
JDRdwA/szKC5wfNADL72Xz+pGlGRZUtihupzi+cNN+WStzPDQH7PNbXTPVUG1ldm5s1rZeNGjqJU
3Cm3nveFQZInNbJjelnLgxnYdjZu0Rh4nSsq32QhDFtR4/vgYacGJGEkvk0aOsSNQGl6LHkLAyth
3vbhhVVCI9Z4tT5/uGtLNad3mFqXA9lqLc8Y0X8vFrE0G/AYxo2Y4uhmKjK2SVHbjShqqvnZ1qM5
pn3nsHlRyBoaYW2z7OxMqy+onauXXkXJM4zZ+RbBCasAJ5m/zs3SeG4Vpran09Z/566SG8of4xii
xD6TBYFJUcTxhtR49dCzbkv/op/+aNT/6E4+TsEKb+Gs0g45xP3+egpyNCyJCFoLZa3uHk29N/1K
TWzM3XJaQ2BU3dmbWOXubWlX6lSMio9WWU7JKCXVhv0SJeRg4ew4uohoQG6a0bUCfPEm41Q8FrXZ
3kWzmHwzTggaYF4eMZDtsi9ZFjj7MGLm3rd6eeM4zUOXkTZirqGi4aiQCak9Y7e3pLbql59ukv9l
eOH+qvnkQxOds17AqMs1w2AV9OuHrmDLIHCois9GmQdf5Xr2w7KUT1IZ5HPaWnPsE705oqNgGhkV
OeAg0S27lokpWxgCnapUchjQT003YUGq1Vjq5udg5k81StPvqiolKR9qvIl6i6kt2+Fb0wm+hMak
MAjAoUgLpoNWmmmHuBih84hGkHQIbXcugXcsWs41rSN2uNQW/a2w+hNyJ3noiDU4zKw4MLtAuAIS
m/qTyZwZ9nGEf+hrVrnJhWGU42scMYVBbTK+Vg3k1I+Y0oaRPWncYLFoRXZdPE533JTptT0IbqYW
5WKqk4sYJxhpg8YikZZ9zqVjgHSKId3Cw4+BI5RYnfYa3aenYgakdoGVcyo4S+QKx8kVyWXY4yjV
HmeoOd+drMZ8U4wNcdqm6dYHbFZyV0Rte8DuFV9mXaddBYA1bp1CDldmWvPhlM7uwK+jJTnMUGBc
bzFCdSfibrppO8kBVdiJ4sVh02Gu96ZIFzYZY/toRG394mJhOxlG43oa/sXrP792fntmscNDtmdJ
xK1SZ+yl3FXV99MzS8GfCki4FHcRqoIzzuFiLyQmSgLpnC3Rsa4H/o1rpymXVzAOAFa6tpo9qHrR
W0L+63WFyumi7rT60a6NaptFmbavneoJ+QBD/97KH/Ka75IOjYm4btBxXHHuT2WAt1LroBy0Zjgx
Ty/VHU1MalC98FHnXsxXwMZij8fVvBtQRawPVCJPGrPqJJsqofwYYyffcxqma/YMy/njsq0S5vZx
bM1XTc2sW1Zl8F5mjvbkiLx9XDvLx0IsNXuemAF4DnYi2up6Eb8UWrrnlS9yjwVKT9RI3wNlmZfU
9lMngkqtkc/q//nhV+vI7Y/n1Xr4VzsI6DzLUiYy/fXW/unwjzVD3XBpsLszsBDbDnXQZm5q8TlZ
XD6BRM/EPLYV98kcD9CLp8qtCH8tomnvQEHGcME92G9UVgcXTjpUzzQheApcLP+hV6FS/Ep9xofR
VCaPkK/F7u9/AAptfi1U0gQlfnCZfvoAxZK2kNRD+4700s6fEgmbvQpDdHYBbsi24DkTrAInCL88
YoqIhSpbrOpZCzTzUo5WgPF/3e4RLvasT7Y8WePEhFdhRN/VmRPcZ3aNxS0qwszZ/Pnv/vE+/u3g
w7K3mUwotsV4V347+HkTN4sxmndlb4IdGAlXfudqRtnJeg4fMfm6V0xfppvMHop9h+s2ZsNbWEen
iocLWETsLFzVHDNzxMxq1+K+Qxazd/GKsIUk8uNmcdr4hJ5ouh1zN0MG247t+8BrglMUGy9tMPZH
DYA0+JwVoNCDaSlgNhLXWiVQCiYFv6KDMfGooKschIPFvYVH6CMntXZZq4e7Cuz5V/Any74Zh+AY
g3zxl8IuHGIy1PRdhoRmbVS+ArHbSkl/0St3p5fpi8ybQxvpRb3Rid89AlkOvhbMmfBq8tb4uPUC
V4RvTSCiwbdS/mNfpMEFUkN1xw5wBhWTsJ5yVR29aRV47IRN/FeuvOG7keXrE2Q9NIkdXICdRdek
rRZLgwiouyqG/TmrPL3XKrWEG4MN9ZOdJ696if0X/eJ0TJlQeE2j2PYYmTrhY223pp1N1wmG4eIv
LgSKxN9vQ6S+1AxwB82PcvC3soFnNTvCdKjvokx2tjdjvGdluz6bs3ECYAb7y7OjgA8Ay4Ngda2s
ni06w/MCHyL1w7xF4FXb2yhLMvz/Gdkfc67FqTdgxM6hcRTAw9P1dpW29jKPWvbA4797UaMxfO9j
2xBbVBw5kszIWYcElGNXINhNP7dJiNxMRqFDktHJ0txlEvQ4rvS8PzihmLbzUtlHCCwPWH0lEDJg
N+SyqXgPM0ScMbbMEHB6rX+DOcMjMi3AmpUs6ie5gJZdM4dt8pcoOdfzinG3e4STfTBFOszbScWL
7+rzo6yqYgvzQkdTNBN22SbcEG5ocLEmqjU8BtL2KwzJfNsMQ3pR4vo8LG4GNR/wQr1fahXR1E9g
y72qT6MvvAfiL61I4HbSVesIAOI8eWyZqCybLK2t8BBRt2AyZZpCwkNURW+CFK47MYxrgYOH/UJz
Jl5VhC9uGwBLaK8jdtxYB1kJMqDikZeVq+G7HRv+HHT96pmNAOERadMaxjZjDXkfhl17DGDzGJtF
JvpLpAdAgFGQVOmlwFlJ+ePO57CLS+EvYa295FnJc7VDhLWdebJrnigWeQrNMb1gbJQi3BvL8lIY
JMZ6JiP0J1kuEJBnrV/OUL0CeOd2Mt011JYHtHxuuGnbZXlXVuocAYEIP+vzlPGCFchwAxxg9FmR
up7DHhMZJohZ9uuCqzCuqTI3E9TPjtWl2JhVoG2hDmTvLPjvyHcnrM2kbGVwBJvCy8Y0v7btPLpV
RBR5vAxcjow7L+ePJ+p/1z5/0dmujkReHv+5s71Js2fyFp5/7m1/fNGP3tY1Phm6ZCbPy9Rlt+Ia
f+x9NJ3tDqtJrEGaWs0f/+ptdXv9P6gL6KxXd8k/rR36JwvktUly4UquNW3n7+x8EFX++nj8oJrD
3gWjDQlZp8/49UXZIJQgYlfWF0bHEwcq0q6Lhm6n551zhuVHkAVoF7RbHdgs008bqxcPUWcmbxnK
KAb2k2iqpViFMHGwF0QfN/dMTLNLJ3Tj5LaD8YTPP7a/mjzbLyIZZpfdmADiFmmzrZnU5xc8O9Kd
lbrM0IakOCVVLcqvRVSVV8PcVwvWe7knJnLwwoXaYUf13LhfB/QTzoFNU7hpunq2noZx6gmPRGe3
tcs4OiX4Iw1fJ7gOmE9YOfHz0InoqW/gUBzKpkx5v/IwsU6dqUVduBNZrhlej4We10M+xo5O+ETE
Os7eOXW2VNdl2/Jxo6ltbM8uZoRWhw54YjP5OVNHkV8UpmEy+Gfk5yqT6TprjWuHpxLC8iDjeNYA
KFCZ1zgGXW3c9sNAAy4jQlRfAfm14+KnUWyOOPVZi9DBF6R6ADXom0XA3+gLxLuFo6hhJzA5iD8j
Z6kNuYXuYSxeag0hkgcEqSqy0bMnfbkkb0swz62JizwPZ3M7hCUjQFsZQ7hXKRDUaxuq1FEbmf8h
fA7wywh9A32pWSFpBa89MUByr9TnlIzaGJmWBp5QFuNZojDfWe46TMCe67OuydAazAACy7bewW1L
T0yj9X3ZGvmxhDe1T4uhhsBTlARLDVl/hM3r2X2U7vIcIrsOVuvGVG7BbBL6sWVgvDU69BkJ2L5D
u7jBucnH/DEoBKTvlBgG4BNDBR3FekjLPDzTt7a3YzTYZ6bLw9coh+yOGB3oZRVNZ66HcjczWPnC
CCa4JdFkZiBdAX0f+x7Ghw3EEUCnTaZwGnyJsDEcSN0VjE+Cqdu0jXB31G36KaDw3YtExMtWso2a
v+AlMrHeZNZDbcniM7uuVG7yIAonz0xqffLAOYD+KedlORZk8zGr6LBB9X3RHUdyzvZjloZf9KrU
L92FUf5GVuZ4b7iScsKhG062PZvSd1TYFrQye0GARnZUgWOnxJEqlXnbxAt6w9G8TyhR2qQ3VjrL
ZJ/kTKUOwGPJSBRp+uGmD0N1KaeJyFzD7ZHfz5zrPmuZWmVW8QW9SLEfArt6GVX0KOtm8LrMcS44
07k/V7rhzW3lXC1zNp0Dq40uCmNqkOroy1OvL3m+c8dJvSZlo10KalTMu7VuX4zZhOQmqb4Pbh0c
pKnVPuMswg8DOyF23emfNAuY+Zwu8aM+dvG6aHbSx5rXJ0tS7jDSRZr9Ot/zXXvsdnHF8rNkJ0d9
nu1ZXs03hVuYF+PUQoIEvMV+lq8VNzKBdrOYCx4klt7xLVyD6QJrDulEmLqxTUjUOZHpTFBhOoGE
TNSzj/+zAgDC4ojj0rHqyCIvFBrQu3a8KCEmbVmQqC+GLfSbTjQP8dJ8Tiphv00mi/MNOUpaujFH
7H3o5Zbk3m4S4zLXZizDnVFtrKQNtnYcHhHH2Ffz2NTcGn37eWFbRPijVr5aPW6EagRLRg7T8lKP
mDFIUcmmjZuPFYvB0HgIQYfQNmbK2Iw5PrtlccMrQ8n+a2cK9hZZ6AUpovUFUs7iJVNDiQ7LqtWj
+Hs2gqpph/qk+mD0TdqxbTT0rFpoxg+6sHEnTOM4nxQgMuLZrRHhW0doNnbsSLvG0SB2MOEFrjXN
IVMpaVtc5p0kT7yfJCF+AE02WRBjfInyEbqqirrpDnhP63gE/erQBwPnJR1zUmH6uIeI47A+9pkW
YAgTAOXKoTCfe5PkP0SiDPaIG+I5x56JoZcsAhj/ToSMbDS0K3vFp81StNd26PYzFBl93IIGXxvT
ODrSwOHcq2YJ6FIqgo/iNuUSNUuv06ZXog6LOxrU+RgyUPT4pvCnk6A9mmnl7jsytk9ENSJGdirn
Fe2Q+V4K4w3rijpJCHuslOocc7+b+HXDpjnO2cawGnSucPOlJzYmVoK++DXSVL2ptQwH7jQ9lFrz
eaoXzXNkE4FsoPONSb7ZxZJgLQ1j0rmWTUloKK5D1HhjS9p0dJ2lQ7gz+hhScNHIx7g2jX0SmtqO
+/01Qdl3h1JvJH4pK+9DG9eIpAO9AGiT+00TmNmVCSnRM9tiQL6ihQcxTtgNrNxaoSayPHPl5tsC
juot+KfmrZ5WVIzCFUbZYzhfQiswLvgN561iTemVZmVWVPFmfpsHwiSbfSaSuoCipZEPtJ1bLT6J
hjWhVRTkL/UM4ox+6r6ysou2mUO60WCn37pWviR1hdON1+NpGPOw31jtGMEsq3EztCV84TxC5qdP
7bskZNvv5dx/Ttgt+ljCV8+Xk+4Mp0TFRYj753iQ7TUUdZAwLubKmenPzRCi6faZtLD9MVTueKKJ
QMD3l00MP80sxpeGTKtv9TT2u3B00rccK4o/LyyweOx9I3Hue5PG7Soqtj3NTpl3mfwpwL6+mdHi
HIC+akctySBTxVLtVBfLE6vf5NVNGPV3WST2nVmwc2yD7EwKh36h2iTeVV1SH3sKEuTWmXvApdpC
gaPywhZi7lHPDZdxXgL7yiacUp0UYkuX2HlTVQ6+Trzda2eOscfvfg/cTnr9HFmHcdCJoDKvGHhU
h8LAJMmUVe2AYL3WWnXue7TFRVyskRbLnke0QO8inoiFZkkfWfEuThcqjIzNcKqV13bVnIFt7d2W
7m7MkeSwrdviIbtzBH1TUi7hrkBas6ldjJFWXCh4RtFFi31tFxjZlZ4LoIbtNO4zxPwHY07C7QKI
W6TF7dzE0Q7DcLxZSsGGMJvPpM/h2IrBAbddVW67hXaUaBH0nlgy98WgQwQTtn4jugnylyvs+84A
qLkkQUn4mvxeB5bwzTkhzpXYsI2KK5MXWRrxPtD786ik+xrnc+0T6LzKkcTBmobibBH3yssYucZg
gtXX3Ko/TnnjHpIixDbHxPYi7+ZzFpvfjMB++G8v9f+yJYQ6tArb/nMv9eV7k6Oi+7mV+vE1f7ho
cKf/CEJCurvuAv9w0Rh0S+QXEJCyuuH5ST/WhIb5if+AZF/Z//LX/9NFo/DeQJtgs0jCEV4b+++0
U3RrP4982UNiWoNzSp4IExFDW///TxNTjAn9EpeOeXAcCog8AolHQqv+FzOtX3eR7IBQ6PEZ142Y
S4f4ezZL0A+10vG9HvqkAOk1sC3bOKTWfSu6YbrNiTs5ZgsSOxThXfX1p/Pxvyyk1vP180f8+OGU
TKRic9hsDvavHxEQXjbpqeMeQsOFE283LTjUSfJzV5Zswsv2OXTzihjJIta3+C7j75PoqFmtxtK3
WSMpXHtov1BaMk+vIQn3qxardZJCEFsY8Oycm8pvw3C5wpgf3OUW+9L/jw+ByJKml/hfslh+a3q1
xqhoyBb3wGR29RSUyy4XgE9je5wfah2DUSBTG7F7juNBasD+RpcFklnSRnkdvLpbq1DTbdliC9EG
8KOuC1Qa+1N2JGgz3a0Eo/uckJXdTOocOnDEj/s//wzrwvmnAffHeWASzFyTfTSt9m+C3xYMdD/b
o3tAhzluGw0vJAF9M0z1v8pu+TchM5cb60cSQmBJmP8GfzB5u+aV5CcNOsoZRCCcPAt4cNPp9Vkz
Wbn9+Sf77Sb6+GQEZ4C14BJn+LJegT/dREq2RUGJyM8L4+bMEwUXbx+6fw8Rtv4UcBZE1QLAdZRu
/Hb83IbHBYZu9gFqjPcOR63SXdaKrXP/5x/nA0j325kCDwZD7iNn6N8eCqRIKXfkGjyoRWbHxcZ+
FLlcM/PMiZtzHYI19KmW4NkuvYPE7pwqEEpbY6Ur49knstk063Mzr0sWa8CbUcm1xB7ovQ6A9oOL
MsN1QW7P/DBAsp09fdHAPofJyBDhA1cMWBWThcNbs1VW+zhacMP//EPqHwLzXz4lC2pJgW0rcFqu
a/627QpUkAHDbqbDSOG1QQdLEGZISQ17Od2VaUuloJfv8CfFaiIHUDrbySHLk343yKrbpVXTXONr
GknjKEiqJgj0URLMe20ipP9mj3mOps/yG3jzn6Wbsxtsxkx6DR35PdpHdxctBOB1AMIforCAt4FV
Zs+MRyZD+I3HWXqwOhPAea+A8MYMcpXlRmDZA+XruM4PdI0z5W2c+xEK+z0jWOee+jk5JiKhQJY1
RNs6DF4jXjwATtLwaOChuqkyOdabYbGNU+7gHRkCatRqUIzNDXLorB66r9eRSnRIGTl96cjMzcgA
x5wzixuTAcrbzIRm42RR54dpp+/NwEhaxh6Uv3D7Lfw1i8EcTtfuwVrnj3YYpe+VjMppk2ourJVV
ssokuNTwjLHYeLIdsCB2rpoDoYbZMZmT6bTgubuxMvLdOycukJnl8XjTd0X9UiSZ+YxpzSdoFs9e
kH4XqXCuRJEJarA49IXdXORs+AkTljVjh/9h77yW6zbaNX0r+wbgAtCIczYrMwdRMqUTFEVJABq5
ERtXP0+T8h6J2iONz/8q22WKSwtAo8MX3hCfYZZUXzdJiyHRUiMRmypAclZYH+1WXprxRNQLwhhs
IAsnYTJIpxIf/SwAAbtkmAcXVXWJoap+b5UFPj9OZa/XzmiR5+kJ9LXN+bKV1SyObhNHZzDPxZOi
4HArGaf6bLDpN3dhLx4Kj9Z8y4yYENUdOyGeGizjD0Xm4nrXLlG1MS627zHjGLcNOFBezYKny9Kk
J3yIDlkm7tykGvfsbdPZUDYoIVvLEG1U5n6BSU23I3DaO63KqxygyNaakSeb0hJ/4aQAXVMNI2RE
+7x1MYW1U8/byHhJ39UyvUrS4FO2aPuUARi4T5xVg8YOwBgUT25Vwx5UPQA/GcQfBj+JDkIp5zJE
v58CYhFvGrQtITYKhJplZ21QpUkgDVoZWxRGuk71EsU3y4VFgfVYULXB7yBKPlptprmZJTlgd+1t
s0I0zUbZ3cTkmuZwxzGEl0EaBVj0zXm+G9PAPaq+ty583OsuBwsavVp8/YQjgH03YhcSUU+BJkB7
WbY3awNsaQMSvLvQuFmdZfVSnhyR23ACWC6BBWse9bPOXYtx71JC2qAhgz7/kGFVaMv6WU1e+igT
Z/wShL1+FJOaz6soms6KCWW/KW3RFLOt9tghcQHH1J7ORoi7N5ZG/A9vFuxeN7YMe+eszpFkA/fY
BdW+stOKAvS6vPcQjTug0pSd2QW5lVc23lbqMYFYN+ZHJ+jqy9yII9c2ioI+Th2Xsh6LdocaS3ce
o/MK9WvUqHTB0ul6uzgkctLfpkHNzbUNJ3GXtAQF66TtjWpc9BtIKXd5ysnhrPBtXHts9/YEvIUn
VudhAPUUtmQBjdrWF+tg93+vtI5vXBbqtc7tbtwVCTJx5GnN9NWRasbjGjasllI9Z+GSHmBihx+y
fKgv8fJxHiyb+IIGVYYLOXCcFx8AIKr2JkhjXACTcum6zeigxwoCt7hHT717lFLAfLNXoGIWcaHl
t/pYYrB3NntdcUD+b/yAF08JdABLMRiK9qmUsJGl4iHp869XQdnQE4497kuL9lpka3Ie9iihQuak
dI0FW7GTmPKi8TLx5FTOb2K7mnf+CAHwhfoJoCm9WcM2gYftgabZunHZ//1iljEqwZ0UY2wfJ1R1
twmQOAROKHLShCukj3ESVhMOGwP8xT6HVehCAZVBCbF1TM6JVXxspYN4QxypzieIdBsHYNs3YuDp
Qz4p9vXG7c4RkkPGgtjGPTpYfx+pIPsXg2qse80Fsh0u14QXSYgXj4/39ac58akYJCj43dthy/8V
6XivKOQAmMmcRzvyL/rCkTTyu+bYS3edN8SL4sJfUEHv2BQcNYpr8nHv0GawYKrCDbZTKbNDI5Js
j2j2g5OYwvMwoOVbzP4edPatSmr82QvQeEfVTjo7Mvxh8awoiGSXaFV1cEY1LJFhqal1gdiGGynw
YLiMUWTCHmnRPVLYketl18vsLtV69nK8/6f594fmn+OCuvshEvpF2O34tVFp/lPv7/vf+Z6wRvZf
QPjgHoWv7T1BqvE9YY38v5Aa8ly4FMGL7C+/+p6wGqXVf/p9CMD5oUeuC4TIYcP9N/kpWdqbtAFF
OGQcwMsS/nroc5q04ofgOnabGhR2VJ5ElH6cEV2hsQcxBu7kY20F79RknYBRd49R5TxiIwAvJNQH
uKTng/FlwknDPRMzTvG9cW2qndk/i42TE3tGuwuNu9MwxQp+D2LCTYb3U2NcoCzC1E+GfXZvucYj
yrhFiRIvK9py+SGx6mU/AjOSxl1qXvNdEQ3VRT3nM98GpFvMXYdlu+vu9Oypcxv3t26qbnTv+pt2
wMVKYmeljK+V3yf+rgnncIsU2vjgorC0TY0TVmY8sTzLuZuNS1Y/pH8HXgXih8bbMTReWoNx1ZLG
X8s2TlsITWBwZNy3sM/Ye8AgR2y5DKx1ozucuiosuxoUwzYTfnM70snlM5FVelEYjy9h3L5Qg0OW
3ziAKQ8vsNm4gs0ezkQlRmGDxDHMM95hANU9I7Pw5OLaYKyxzlFnh/6TsyFR3s2P61CnND9ieHhh
fV9hUTZgVUb17CYx3mWj1S0nMpd5s4SNcx+3bvk4TH77N/KWB1ScQLEM1X2BeORlXkZq3EhcZAvM
VEpodCKd926E7l1Xd8XjiEvLHea4KCn01gB9pcZ6ok0n9Q5ecPKOsNi/8AqNjrxV+eqUIr8Eo7fN
rxXKWI80PbHe8YlqlkoUVNoIVzhUcZrKprja97Rzzjo8eu/CeUZbvBTgOkp38k+DiNqPIXpwASYC
U/mhLmpUKcoM5CbAtmuvflHZd0qKDandqsuwc6NdmwuHwYvd0UHXjLOvd9v6XPUJUnPEKvV5Z60j
xfeohsidl9BLNk5T5agfEPobeMfBnUP5KXTR9N8tSYocnIuHmnSRzY9EUu2XKm/eOUXjXItgaS48
o7oORFN+alsDFaI0YnCd8PQOlQQzDG9+udX+hC7DUKT1ZgQ/u6fpwPubAWNBACN88lFR3ikEjZ46
WwCiwlrqsxqp1lhCjHKb9gOjqho+k3FeM4DWFjO4fKXdgiQY/kxo5Q58ZeiOILTsOtW3LkJBH/wR
TY6T3088fKdTfQ+Um3usGhvnEjT3LvrGDwpw27yHNir5QgcwTbcvoTLu9VQBBhqq9mPG+jvmAak5
ui5UO5IlBwkbGgh069T5tUar5EvewQRzYDV+9Re13CZj09683JlE5Do6UMvl60tAeXd062mN+Ip8
iZMvuvOMeJFnDdW30pgj1D5HYS+hozSBxgc1Nw8+GHMYDfb6fbhUfLCEu3bmT2wiO9Su9d6Oe1R3
Z09+eplp0h+4GqpjE+AbWv8X+UI/CaRRczMDMyYITSW+YpgafcAiwYWoabwDh8oL75SfemdNkSz3
DuAqNA/oYbjpGHqnduKljqNXn6OPwVtzk7k90AUdvgxhll/XdHduIifQF13iuPcJjfP7ubPIG5mR
9BxjP/kEcLDbzH6VgYpMFr5oirhiqOviUKaZ9a5ZEQ9eA5wmOqhEx6YcoMeat0WPG0W6VNMw64uk
HrYOZbJtIxk5HXr+pdP1XrJBOATCUZDy9eOMdSrYOWb9yn/wXfwYgQrdul2Tb3u5Xvd1dj11+na0
+oepwx9j8qkT5qCZqoDsMbpyhxEvnfQ2M83LciAnluqbP8cXsWhwLMOFonbD+6UXBzFlFH7WDykA
aST6lugyoDuPYRuwEOQL3FY328itm/uBcwzcqkCe3BB37nEceN870rkOJvbwwonQ7AxbsXVCRISp
zV/nC+3eRe56+EGiDpNbqATLjbO4cBMpa8BBjoLsGDQFEibx5NGPLjAyajt1miYUOgYEQInklPOl
pvFOcfRrV0/NRQcB8UKuY7+v3co5Q636WTnDqY78O9y4SmDLo7hxSeo/Qrx47K3oWY8othNtVgeC
Ruq3Gn6aVQm9g+tIlukazGIbBM27UXgeUAW5fqkmmr0ImG2Msy3dnYUUcGzP47DAfAd9Pd9fecF5
4ByWjnREzrq4RN/rfaDpnWAUcVYsujoDyS1OM5vwzo7IJBbAmLSTRyxg1vZgNc3HzoYQu9SNfakL
OwQoPeBkogN75wPttJ2q2yJzQgKgvwndAsKMwq+5i++UN3f2pxCjrJ1TFA8DusBPmsb/nrXew+Du
oq091pj+YS537sWJZ2oZK/uBmMpTKlcqOTBsPHiqO0Q533VV/yXTQ7K360hfY2A644WQ0gnb0gKk
c1avKD8iQVlfNk5wDaSluGNawc8F83YrVu3taUDXDZgWS56KmvwLxvKEfo7bfu19FE3QlTkDLg6Z
o22fxrKBtx318U4606OdgACyG057UKk+mdr4jMPBRwQPj7bukvezA/BWiGKCZYhPEsRa60p5/vsE
EfFtwDIEDFGnj3BZ+i20z93g2NElsknpniAh+uKF/nQf4mvyvtCdiSFQkN32XqDP5yGZcQFD73PB
PVq+l+GI4DrAlq89KIavg1Lleayq0GhAJViiWtgABd58ABJ6jjakoKk42NdhIps7ugbAUrKOyEpA
ZZ1bFV23Uzt/qmEIfqJVJa6DAcsFnwhro5AA3ZWsInbyIcexLat9sEN4XMYbuKLp5bQMBeRiN3Hg
6/UrQltxNx6itKP7j1/YhyFYrJvAUTTfBSZlvERy/ESl1n4q5HgZ+spjxtRIhjQdIJ+Nt84cg/Am
r5vICc89v0r2SedXqFh1yYe4y4d7PJ1yuV/7rgYQFtfW9ZBG/hmRQkF21XT7fCmTLdigxttnavkG
HcW9cap0eD+rfD61Wdj9HXQDVqjshTt8PPCTCUH/Wl5LSzNcz4qKKAznNuvcbtjAWtiNpybx+22r
Bom/ok4OTe5E3FYJctcrP4c9UKBeJfNNEVj2FXmUQoikUUdQqdN2nCkmEDNcLTjhepZ1hGCF90y0
fpRKNe1O1hOmsXMHh8sBuJNnfXmoPHvYNqrwjmsDhSbP0AzBRnIDZEIcfJiWtyupLITgpufkmqIb
PeOw28l+PkWisD4i33ONOFn/dQ5zApBAD4e4DVL41eAXoHWCV1Om/qJWljgQXvJX+54TtLmpKQJt
WgNm6O3ZBxW0HJd5SXe9WN/pQITXS+6itRVF8DFrai7YumxLh2741KRfu0UfxcCRR15a7qdcjlQC
luXc9Ma36CUmZ2hEXeZpd+8lvr8Lk0ie6TVYLhIZZTF2glZWOHsQvfdxwe7qXIQjakTGLgPYdHss
wHOAsgpkt2MJ9zPQoh58MxpgFhyHDykAWnBrsZ1qzHnmUi9nC/Hvegm1Azc8mVaFv9cgi3dLRMUM
29xikeWGc3tsdhVsTRfe5pTp56yIwJ9RKk4a92QQX/jX3Fkgaw5VHRubpXF+l4Trunf02l+nEk6w
nHzvCjOfx24V+X5tg/s8bmglrcNwD1HO3ZVIYd50Yet/pvqntxJi8WcqWcPVXIUW8Ivpq0o19Rrf
na4iZCd2YYQ5lgcSxtjl9LeYK7mXcxh09ymhCpYG2JxpK/yEY0yCSMEon+Yh1TgQKg/Cf5KcV1Ye
UH63bZD/FHynKV+2CZ4+HJVtiS2Clx/tCMU0OtqUALyLVRBoY8XzBTbBBGK+QqIUHVpqWM8ZaHx8
8PL4XKcAKPfSMUF/CsH4s+1hZBUWvryc57onju+9kwhyDHVl/M7Gm8JUcSYIzsU0FGcrZSqjhurp
Sw/H27u2rNa/S2WXV31WPZOAptWeesmIcdAAk0rXSbPL6+y5qypOfaurvoRTYPasZBgOY51PB+XY
6iPhS7B3XbHcDyCWtsRA9yKX/o2Qa0rp1wX2gOxJtwv1ykob6/lDMALC6Fq0qdZyivBt0ANYk7oD
NLVGIvuMCbNN2QUtikNFnRsoQ2xU9kgNG+KAMo6+RKnNxjGlvnMPBCL6GxW+9iMAg/rzmjV2iyWe
8Cy2/BA44Qi48aE2Frq+MdNNjK1uz8a4j5wVQgWqaa0x322MDW+eYsjrDFjzBp1x6fXrDKqHlOh1
ulz8pgOSfyNfHH0pQg4PiLIYo18Q2S++v0TPAzbAy6spsOgxCFZdP33LekyDQ2MfrGDunBYchQtj
Ldwbk+FJ9JeFArbQpiq6Dyp7uk2zob0Xxp64MEbFKyT2jQ8eYg85Lt9JY2jMjb0n8QNNFgNspEER
nZWwR9Vrn/k/VZ8/VH1MOeZ3RZ9tUzbq6UvzI0zh9e98L/pQZ0XNR0S0wYyazoto/z9CPzZyPn7g
BT5IBHDAwLf/Kfp4DigFF3g4Svv0Jn8CfQd/gdB24wjAt09tlbLOG/3+3+r5v2WmRRgjhTFABcJK
WM1vSaWYCrcYU6zWRYTzvUQ0Ecl/PT6qKcbv9Rz3R3N04QEaZRQ6WS65fynispohw6CuFpoKukau
xESMUSGuagsOdoAy3ZClNghMCrIIuo8o4C/JsYiw380v/XSeED1c+dNkPCVkkbH33vYnpngKeK/C
vA6jQWQ61oJoP8S1NrKoh0wQyqpzsBb4x+F+jkehcaaa7I/0dhLO6QDvWv1OdiutSRK/dA7vsMoe
s/gmz5EkfAVKIzkHatp/QVCXr3DqUCOys03pBETfrZn+s2r+sGpiRzDP/t/YHlxpB5U/D//VfPsv
VtBYff65bvr69//B+TDhbeqUiFAFZv0YAsQ/OJ/wL7gUUYwQAA4XZqH89woScP5jj8kaGyIDqAh+
9U8ZNUJeACwBv8RmwwVq/W9W0Isv1I/dbiouPiscUJHHEhfmyX8so2p8sRyYwPapWEhn0m9lat0s
OjkjU9/Bkj5VuX3e28keWtAj5sgbKfo/YFiMAvFPABBzC4jawTTimYGymN//UMmlpBO0EWchZAaN
Lrb3qOP2sgcsWVeHtHCNgj1tprilGuWVyVXbpixm18MRwv3oIcm6IrCPYP4V3L0NmKXDgBp9iz1H
l6FJ4/kTWHS5s3CBpUn17KGbnTcAo+tsYxWfJBgG87841m28XL/v1+aYV/2mt/baB/LXDKz1FHIF
oijY6q6U3caNpXohdnaBQ7uoP+io2CjmBO6I0aai3QkVFXenGQq/XO88mMjsI0jZRtaV70s0DwfR
7/uCCtJ4V2Y14W2NYJYVD3dB/NERFoih8GntuYNKOps4AEMbhNuqizd2lu3R2gKlVG3VWNwvVgJa
HhhpARR/GtpPI7LIx7wcb9M+vEBZ+POaYg8li20XUB4OwGcTFOElIer6uVo8+1jIiHaxPT/XXor1
+9hf1j05Ymm3lAd6LrZSGhQ3aYWl+H8aMf8/yEGHXP53m8v/Lp/64uc2zMvf+OdAduO/YuDrbCio
KXgvGnqv2wniIX8B1ONExTQJtNEP2tuh8xdm8Hw8pJn4okny37uJz698ejeREJw9SIz8K38dA1r8
YSmb23FcxwfSh1qkB23cILB+WMp48+qqGm3va4YZraQ+uibC3s0IWHTDbhikqz9IZFeHQ69FWW3R
VPP9Z7zI2vrSIXPs3ENrGbPQAtMWImbIiFiAsnxo77xXNiJ+ekuLIkDbM08WFD+2dC3wbd+KEkUs
xBnk2JOnI9wWqg01dmuG4YVZ+L6UY4p4vafjHCT7OqKtf8R2BxD6ZiHKjxW5/gL64FBPsieF1z16
3dYf4GDOz9EKnS+zbztBxL++J9BP/Hl0mj5w6FOv/te2n6cYlf00zKjGkW2J4grbceoQ28XJ6+pb
F6hcP3gAPrk1NxsVz0OPKl3e/zC3bl/3+R8lRd9Q+7klyj8Q5uBz+eiNxc6bW4IYu1RNr9IvTmn7
xVXr5WlxvnpjR3U+I2+mw0EMBa+bnm4bIc8m0XMJN5J2f/HULL2mYxGOviXPS3vqsYZek3QddyuF
XMqVA7Dk9UMGtonOQrDCmb1eoXPwMcKv3u/Am/QjHaHfP9TPsDv6kwwywSDSoWBYA9bCz8OMfN6S
W0VZf7VnSwfv/Dq3mvuqTJr19vcX+rkFaS4EBxKSESEw0LtfpEp1yaZM5SH5QjmMkte+LZMCPTLX
ZoUvIpTezUzDQnC6BH5JIwrT3nC6L1CU+hOy0TQ7/+8p/nInNFSxXUVEHyjlWyyrI1Jtx4sMvkx9
pIJrABJyQJ+2slApOk/7YPWDfzvIHNkR8kYmhkfpyGxqP650RIOtsClD8VyOoJU0spQtllrUgGDq
zX+4lpmEPz8dGxdqsICiXZDC4ZsX6mJeUiBB7X5ZUArIva+usTDOzpKW6ut5Ss2PIS51MI7x/vcv
+JeZRE2YZi7/4ErHpvsmMgHQ2KsYXf7nhRp2tG5kWEbTfYIcD6P7+0s5v75CYgQXjQ0iMTbvtyq7
Ei0cADFu9aVHyhk7pTxO6vclbIwOoC4AxLS9WeI1savLJld1YO+RFivWD7JH4lRsqpINkTqcTKr4
TkoAnECnJmNlA+1GRfo0zp5H/+73N/3LiwFpDgnYuNM6tvOSbP44CRzqze7i2vVzrUlfBMrKcSG/
TY62/MemqYJG7HDDbIbkT4P164sB7oyEVUSeCSXs7baVWAbKrHzrM94HjruCpPHzESX7qM2UvXUE
xabyxDIpwiedlemCv6ZSKkbm3lrc6SGv1lnVZGZ4qXzGm43MUdToN1/4lYbj9YcAl3XxZgJzg6H/
skxi5GhB0P68WEgZWwX9tfmcRTlQBlrXelhv+2BRTKpVU2ycIKm0fXBtQe5nNfW153EY1IHWbJZx
4aX6mQlYyW9BTzRtjj+vALEzOR5439cNGCwiuwtl7zR4xH8yJqucqrBgptIC6nk7taLRPeCL7kBf
A/iXmC3a6rOMC7p6oaNNE3xYPq7ayJptMGc3spEu6Cs2eXvNg04eXK/zWd9dNufLbRt4svoaIIme
O4S1Sb/esvxj/xGKDlNTrY3kHo0GOMZaDqrxj0XftLLej8FSrh9WMFLTw6S6YLrvJX8yo6Ai2UEM
l6fhnbkoanDpCsZfQbkTFUoWOtW/hodp8GZA5EJjCFX7CChIl08GTp7wkRxkXgVmYVqy4W6Yw4rD
DKV1yRbcK0+mwBjTmEtbOTQrUnkxm6tZqW6DaxFjX/exI9efTok3dWjnevSIjjNKhPVF1ll6PIcN
ho74dokSs/NhveToi2jq0TJFEw2Jp4J2feKy2tqoG7DTaLy6LYrT9wfw6abxqDVOxYHc2dQvGFDf
rpl+/ZKaTaysQps+bNdDCKr2edjqSiKMUkh0d18HoYNarvYCQCeSC0y5Zl7Qllh9xmAUkLPVaWkx
czrXouGZ0tdRxZJtZuR8ZCX5wDwPWXFel2q0SsjbsbkizEmiNg0ajWFpdYiW0I6N3kyXJh44tUQB
7qtHSz6Q1T3SH3SXDlKQXQabFlsz1tRUxzGzJnXRtAXAvQCm/YavNQKvhyEdikicW96S42FVLRNj
2CDuzvV9NkYneRfB3GJM1nAE0Y6mZz0VmEestYndEO2har/T4KTNQ0h6EctVJ5IJVEljUVLMIIRP
7AJ7tYqJh2kQyeFOFAg2fkqRFhXTOW13j29pEA5lKaA4FvGTlQ4hZ5eCaM8taZ6eP5xHae7FizPh
BdsgDFmCOupIk3diRcH6REVHcHso4UYmbqOWA8i7p1bmP+ajxw9Y92ok6jYSmjLPCNKHERzh6TGc
axSaOVcSAnonyktQswCFBGaKmtB6emijmv92ToRYF5YHA3sDoeNKlOHNOetcK40W1warKwIx2Qll
ljR4Ab4UPiB+Whu/J26ku9U6YnoI6UwwChmCcr0+IRrdy+pqKmFOCqifEMMBJxKLmVkt8lwNu7aI
V8c/LREG62on7QdAjDnKBigbhmZnykqaxofAtg5gfdNWHAYcLzx7x9wusZOc7Ha99bVemP5Rj32t
t4f5i5kBgcLcBNeB708GfWwPJS5t+IqL/KZxMoRqN8Tq5g1Tmdc26BbW8mSd5b1tSmaLounWb5eS
9Hi+KLCD5R4Tq+fddB5Giz7OEA7Gu7BSpU6bd+DrEw+Ud9/EuCXCn/ZmkEaqYbvZDyKVutum7Ygn
N/3DIFpQanMDkAOJkKMP6zwq2GZR/Z59C+c3NlvNM8cS4jeGYypbsiy9hPODivD1sODDxeTJpdlS
wmHWXXsoNB7xlB3GhQbslqp3V6QXDe04fte506ic69UXbJX0IRmlHUrUDuIIi205Y3fdzwGaqAdZ
dyNvCXN5l7Og0RUc+m2MbCmDNDL4zFw7b5NhOthDO/NJUhjaEptBJWZfKuypWu7iQZqIMPPGlO2p
9ZaA8Rsyi91hYhRZC4479EyoqYOL3pzx9juNDp1OmelR2a/cOI6QI5f2HDC6NPPpkHHW6zbklK8S
H1Q/dcvSHLLDMHZMxyXABsjiUFaa/UFHmeXdoFauAKOyRfkAVLqh5pEiRCzUho65CbFsDMD1MxQE
spHveQi7vhmcuelEA1IcwmYX71Fup/WMZiBmExRYsP/edQieJ3sP1/PuXdItPDyFnpLdHkBayB2H
EiPsCQnoLGRhS/xGmDxRjvc5hn2v0xo+gfmd9hrBxF3zxQTOQQOpADcgK+LQcrDOY4xFqGI1b4hE
U5v1iZ8JK9eLYNU64NucsL1GLq8GCBIXakB7d3V08Mmq51K9s6ulfIhRuYPSr1SXd+dB3UK1Cppp
bJ/bijPmQqWV5V0l3KnAsgs16E85e+56QCenKb94slwVPpdBpZ5mqDjzDXoXmAPi8jI0F63wYTgj
nFHHxk0cqmE/HubZj6Zr1WUJZn50ZyoE/UqOVUS6BnTTO96RYpNfom5FTqCelAdGYCnQSQJHoWZd
YvmmSzfetMrSw8fYdUbvXVAO2ksRtsXq0sJEydUJKBo0nZ2EeZqkw9mQcZKV23AFI7nu4rxcURxP
wBo3FwuLA7Y0HlszoLD2MOE4LnY+Adr6kEqkmDj4giE871EXpmjmDa6z1Q47HARfFJHindW4Ifbr
Yegq6t9legpdMWCKZM/rRRLXtn10ZidzD0m7QOzeDGG5ItSXCN+6bZHa8N6PPaT35mi3oW67fQxs
aXlYhkUMV1Y/1Na9Z3n9+mGomdUbZHcD9X4N0Sah6T8EoWqPETrS6wJtLoTeEi8AaxD7BhAJptGL
qmYTF41wkeRSwAwipMxkVH9B96UxAtXBoLuvsfThvm1H3GRCUEa9PwC9TtDvxBiosP0yOCYQ8oNr
MHpWURynoCWszb5muLAOuBo0EUa14GF87EkCOt6DwDVUuTyMBHP3En2DxkgC5x70BqrSkGtyc6C2
laha//2s/bb1dm0yq2QinrIRqD/pycBH+gSHw/ag4H4w/2tLSSIoJaDlcazEbCQs7g5lFs5aDnCW
A/IyZoeDOWkizNzCUTI5SF3OKXgDgdZ/dLHSdSQkxcR44ujxsdXilBlqlGjXow5DvvMw+o2J/oK+
MJlDKB2Q+FvtTdgYHceuyoNHv+4NhN5Bq6KIjykCoeOuHTufbdLveyL7CIGX1j0CGCYKRsHMRNGx
nlv2Mhnl5tBAbzsBJyeq3rf3aMAEqzhRli4JiWqXjN86g3xt86DEJWBswD1VymyIVelyRs8RwkLz
GQ68AwPU1qE5OSO0A7lTlWbItR7HEF/L9R1qkB2/a5IYJUQSsyZhLfV+o7h/vA7MPll4GPaUyPI7
GM/skIXoHfUUq9jEq3EysduAaVPB53lGbuYQuDKsL9NGThyLQ9uaWKpuQxOygHswYzQ0dTA430DI
6QIcWgmJFxlpp6ZuAMgsQXwcAKbyGX72cG1CpJdyT9BX5pT6foJ5TsM44ohlKhZBPJu7dwTQZmvb
prhqNkcNr5/a3mgxsGwz0tzB2AO7KE7/jMTasYQ2Y4uuGvWhOuMbmwrdQQ/QXI1Q6YaAyEzFHDcQ
cpZqSfxHGLXUnl5fIwem43wg/RuHh6hLFp5YSPTv1GnsERtS13VaTOgsrLO0EzSUitCXxQkWVVrN
Z8B7g+lhDV0TxTorMNdlr1COQU2jtWsTVNgDejLGYECbRD4KOiZLRb3OQedmtlU4oBmCDe01nqIm
mp+w1FL+yW7TfopuIca4TX4ZJKHN/ejVM+tACChKYM4KgsyHsvfMEumqzhS8atnxgWTyTKDmlKTG
eQfiAK3ZZEQmEYBPCGlrl76ertmEuJG1HRvQI+BNRUsUiDaTiTfhqjIfk1JKImtAs6TayRrW/MCf
m08Tlaj1di6jkOPSQSieMyzLQhMagp5NTTAvWnO3r8ujGACKPJTj3PBSFS7nQ3UpAMyln6ZohrF6
8p2wAMxcofzBNM01MQHoI1DgvPCyRuToqpqdFE/PtOwjZzznCypBUDs3mnc7WhN6hXugdDyC3U65
KVagpS138QTe6D4N41w9TWrMBVp9xdgObC7g4sWlNzsDwOvEd5lnle2aJFC2Phmb7YBKYBl5MeEl
iSfvedD+qi/E7JI/BWGsl+m4uKIrnqbMWRiU5DXy6VN7ItboMSvkacFpFgQG3zPiaK1jAoMFUw2y
rxqeOz+hQULhWFuWtTyLaezWW9uaQMIIdP5IR9DHTJFgiIJWjA90VgQYZ2tGxv/WwsTNxOwwi4nC
1AJuDZfTWJlAPkUgaXpI+iTlrQ0VBd0GIJG1IgarJr8mRon9Zv3AqJsdd3U60r0zED8YUpn8gemE
ryNsvI0CRMjXtuzJwakN/WXI9sCumPon9KbBH+kiIo56XXqAw0xohQtOXFfA/lG2RpFjQv+FiVHP
pn5kJUKbKYkI7Fzf2Mi81B0DspqM2wffw0DOTmiWONly2l4FaG0SvGrAVMcEDt14Fyzh2qMPuDjl
KepdcgoONssjPhDLgB7TAd5mw9fE3qDYq2RXm0jUxS2GfWZ+zRqXIoV7ddbJyWGTIuAfg21P5cot
93E6mSzwNbEok9XcdLMuBjXMKtOYTg/RSsbrTZFkopMk2cz+OatrXmnuINBVnEZ4AKCDMLsG+wNT
FBXpq7ClOMIHV82MwljCbFgDr9HCmb3o87zewFbuVzoDyJAWT6JZTIauX3eOeOlNoFs50H2LP9S4
/oeaEVT1GL+82A3BWLypGWHgHs1JXM6fl2QweeaEL0/m75BtRG5l0+M8zCv9fTnvbVWNMlVEeuqZ
ch56v2/rrLqt68geguGzH8yme/M6NcoI9bQ/Pd2vl0IJ3Cg5m4YRrak3lVU3SyEdU534nHuJ2Z+a
wBMgnRc2a/au3z/WSzXwx/qxQ+k4hNHtgq6AIf2279LbaEWjTyY+L6LC8+lizCpk+rc+dt4sw0xV
DmfhimVe8TTWno/eNl4nHaoOUPXIu6lCmM4GNoOmwgMV2Oy133sftUpNioB7TM+ZALRu5qff3/4v
QwV2En5/jP416bj7VopjUUmFhH3oPyHMs3AfHFAmLeRwJYX6/aV+mXOwt+Az+xh7UVeN3ta7CaNy
F/JU+xRnkRj1KdGRnJEYDs0SwZIPL40/PNzbForDiwkDF1lpqqYuSgU/V0ZV10Pfon7/1HqZ2aMG
qBrrLZpa5oBwY3NmJTHxPsGE5uevpRva6obdrvJfmYHPy/9Kvzb/Qyvs7TDTNUXzhCItbVLfATP9
853M9bBMc5yKT9QkSB11llGlgnVj0vl/N8roT9s8rcAkAn0V8bZ4XRAYRgIWwScQ5GFxNbSlSc1z
SaZ2gjluosbfX/CN9D6C17TBImBaQLJY4m9n0CBxNItmfMMUTBtmkBKJ2ebYFGGeAaTuygXyEWyN
DMfiws84GX9/A28smWnbgCxxYxv+H5DT/8PemTTHjWRb+q+09R5pmB1Y9CZmzqQ4idzAKInE6Jgc
cAy//n1gqvqJoWzR6vW2FmVVZalURGBw93vvOd/hp9sfLy5V4iK+FeVzg40YjxKzrDnf0vVIwmz/
97FFt8lyNPbJRuCm/2yKG0SyU14A+SrZFwhwWy6OzMBR0a/yjGl5EUG/Uy2gbSjZEhThlO8em84I
hlVq5R2rtRi8ZbMEwonCeJNEQOwgp7M6cRbpRE/zyBraEWCDzmnRbQMO83Z3kjJaDuZNlRvL+660
Wo5dRmsLqhj41st27tcpZxtM/MsWX9dtzdcSfzfoFUd7Vs08t5dDUxZ07yc+21oOy1FGygFdGxUP
XP8gzlo6k7YeIQSfJWVOW/bPl//4tWbds1EXIdELAbf+9mj3VBaJYc7TU5U0DmfWuMYJUG3CuVtO
AD9b1n/+yOVt+XXJXZba8H1GA54kEEukyq+TIQZl4FVUMDyFsb/0GPs09PMLjKHERl+ayuQbIOYJ
e4qo0YqWQyHY0uXb/PlrHP9yhFUuxGxCTfjZDN6PNtESu/zAvUye8or25ykQy07eE2Bqt+e26j6J
KTheQcg194RDp8h3lshB7+gh9y0zxpyp1LNu6mx+8DKxPBZZVi8nqz//LvvoleZvB5mDLtsXTN5Q
bR39sHgYzaIotX1fqs7E4Ub7EvQrqLiUSjfN4D86Kwbekv8SNGx4LkfPCR8o1rwWMiNtXVowlDzL
/B62dcE51Jrd5aCexlQoMA94K5IqS5a21mgsbYCgw8qfnOgAFhq1q2Q6cqcNy+HHGbnHXhTHuAJY
VjQ+CaqqJQWxOTEM1tFih+Endi/+fBGOrjfXIGRdAZvDBBIB3fE18Ly4C6Xfj/e9zJadOaoYVRA2
M1RUzn/+qMXc/OvzvNxTFi8fwYXPtugcP89DVdNTtdzoLnCr98/qPVqnwNiXo37PUs8S9PfsvUCk
w1WAjr50SX/+v1b3S4fAGEjc/eq5YulnUgvWrHS2hKs3nBg4WYz5XPGqQlNIa0h1+8npKZi2OVJ8
ikZE5ZQlPwd/TIuWIZJRZDbvzhyYM/9MV3K54bOX8SnG+3Rc/N2a0BYd0G5jeMlyJzOLU8uwwvm/
3He0jktj+ecIjTeSZzdj5sG+F0V0ORz4rHKgBfLnSxp8vH1CCLxpNl5yso3YC0mZ+LhENPwCHCN1
9L3QjviataUHfJDx6AHOeO3S40+6HebT8GwCkRptajdCjWjnxQM0JahBZUAKSKjAaYTGhCMA0EFz
H1G/qutiVORtJYG2D2mY3UhGbd9JnkeI57dGMq2Z5fhX2ouqs4R4igt2pGSmWk8Aoxgqcx5n5sj6
NGqHDFs2FHJ3Q9cwf0BnDPq4K0Yiu1TYXrvsStAbC8O5EFML9LkGzsdMvHjAfuOeFoXNlCCrO9p5
FazQbN1ZxTOqCUwJY4yttZ8b0wLx0oo7m/35pU7gHMK49RNaGLFS5HKW5d0gnP4hdRwcMYFpEKNo
0Ld7AjehfhRG3d76rlIci9AiZ2Of7RgTTCR0My8aMQSFqbHqXalPixK76BBqGjZJlj32RH3QNY8I
SeyGtrqboSxvOH5CRC0Nw12bvnnjdrh67alTzxbonvuk9/p1MvryLBcqxUk+pWd/fiI+LtY8EIyV
Wcw8jgquzUHh6IEA75mLxovLH9yv8Tq0ozLfQu6AOua3pn//5w/7+EL//WECodyyzXOGOz6RRLPL
0a4Nyx/gNiUaodG8w+xkq5WU+YV2nZ76L67kDSNCkX9yHvvtyX//mWh1GNmwiB/XI72nAM65rfyB
+4zC1YH0jEfEsRC+/flHvv9N/70Nv/9KF4sy5z70xU54XESOxFfYGq3MDwtei+bMw3axqih40s2Y
FOILftLoCwGVkHHNwgvrjaNreMQ69TCTFx2yL8R6/lXrt+FpSXbEPfut4pzUF92DlBxe7K6U9cru
LPfGhHn+JnsnOEeNK240gASSbKhTMaxbCEpJCLpy5GJmNoT06d7kzOKgsdFYa8PpR1bFHaOEvt1Z
sWe+mGPnEHsfOp+chY5EeFyS5RjAMYjr4rBHHx8JLEOokdDL+QeZeVz8JHWSvVNlxWGcx5fSCosn
xwjHTW/HDD2a1vBJOZ28cvPnO+MtD/OHOyMWsSbkQxtkI9v40QHJyiOCUWkY/4h7Bge001rCtAOg
rBvFlKTbaFeOB6jmOOlSo5ZMeypo7/StLnTt6w7jIULt2YqxSs0TjbM2Cp8llB1v3ebGRTqV4nxy
CG1zpHNHD7S4qgxuGhlT+OvWczcydskqFa1FHYovHBt1tRvc9G3ys/TSEXW6z+kUH9IYV7z0uqLb
VJHqv01F0mN2sPMbo8TjhH3TGnaO3Q39ymnT+A5bUwJ+qzH5AclowbTpYkYAImsyBiHsibe4WQE4
JJP7CG8M4BdDB1jgf764H2VJ3GKurUt3AdgI1SxS8I87S09LmPsuoh9N6nqXpL1nD2AWJoJimxL6
Mz6pz0o666Pw9f0jORtQ4uB7QYJ3bETBR1O0kq3zlcxL95S2mSFXUT8ZZzQqsx2DiI6V3ovbH7Vj
Fg9pPHbnaRqaN4YOnd0nv/73R4ujJsvnOyXUt47FgO0gPRXEZfkajwwYqNur6LlqZ5z2wJ49OM52
TodDViABOo9e4SZLAIGAjk439EnCcM3Ak7yptvLF17TDQE7rlxZ6aajkIvdTdYBRNl76fRKfxJ6I
yeIkuGjABmZBy4prE9BuawVY6OXs1Xvs3PUuyzvjArsQ6VC0MoxzuOvT9TQObGeZl9aAi9m91xX5
dedkEDACNxyJJ7NoCvy5eiDuTjP0fCCKdNpyFlG3Hcy2k0QWTrtqBXKZxUgMJdyn63cN/RBcsUBR
NzLRZK7UgWKL1wrtw8VQE21LkAsxvGuuX4WbPhADZHY/tvHfVelXrH3dm0tQNa0enQFC+PPd+X39
IcwpRDSHdM1fKK5Hu5xjMwmF4pa/YpEyxSocwuwbKo+FhMIto6YSP2bVRyd+aXybdDYQwu1rgmw/
+Rr/8MAGiwSZrS8IXXoDH98RlFJKqlkUrxH4hH7zfkP8uU8K6Cp+tzOxNd01bdnvJj+JtnUYjU9J
0Oqa52S27j75Mv/wwgbu0ltm6UBreazYJSZo0NWYZ6+xMP1bEgjUF/LYjY2gsXvGvthf9oRZn9Zu
KU+AtloXXYmbayWKbrxORRIgSCbb7zw1eucN5XzjrYImzW8/+Za/HRmEj97V4xVHM01ReXTJtIwm
GTZu/0rXu4nvOVng56aTCE5HmfrS9nXOTAn/erAJWq96S+C9wNGI7HrYO6JSD15YxARSD/m93UJC
X/fsArs2awsud5yJNYZZ4h/fv/V/TFx3U/36f/73yw8JDfOnIetXG6NtIrH/5Qb/Bry6eFHq5XvS
q9euU//wb/40XPj4LVD+LqE371rnXyJvhPMX82zHQxns0ZbyFjfEvzjN9l8YEx0XvADuqgAF3v91
XGCOZItY3mMOfn+7vv4NB+THM/PSqieLK+SAZ/G/F+/Hx9cYhRkByrVRo2Mp3pIKkqIREKiUBuZn
Iux/+qQFIkYt6y9q9qNPKkq3dOfR4pMWVJw06+e6ZIEdoqT/5Hj8T5/EZzD5oHHIRr78819MJHFn
RGh68vrQQdUD8GReKS0pAprPqvp/+KAFmeuaVPb8rONzghaFFbIx1odJ5W95kb8BRHrL+O9fnqt/
6Cz/88d4DFXe2xTH9wg64qwSQhERqgH1YXkC8gR9eo1N4X9w6XhW2VyWVlTAPOfo0rH50p/gF+lI
tuejCeAD/kBw3n7qOPi4ZL8/eAQ3sVRznzhivFf3v9wkoQka7EJs4MlCwfJ7aEfxuKijHmqtP5vg
fFx5f34YFkHYh9Bsw+Pui2F5FXOEqj6E9BQ3iHsRwiILWFVG+mIGS1Sq2zqAk+jM/vu3jskTrTHO
lL5/fOv8tuptPHo1UjUoWn3boDwl8OnBQHH5yY78sSj8+RsxdLIqCARP4uhcMPdZP6WVrA9GDw5I
9jUqZduMbv8HP+iXT1mOBb/cNsZ/rqYQ4FPC0Tuz2/FBy6E8ffcg//990tF6QZhbQgoKn5Tgzdpw
PHsB9QYR9/PXy/z9BVvstXjiqOSXcvfoqa8i6aG3quUBXnG1gW/KLjqhZL+eXTnhXDVpboattWvo
RFFs0vPKCifcIgwuT3WD/XQ9VAKSAurrdVuVw3fwWNA/MjJ8Q4FcpBf528QB5iSeicuthYpWRIWB
FLNJnV9VNX9kSkCtmTSW1z07xkGMjQS5G9qPubAJHouy6FlLoGkDVd8B7ke+qqYy3A8Zz3MuRp/j
KWmyknH8iLagAenVdQlCeWxM284W5W1nUFeY4Tx8byJWeYs8MlihFp+SudXZEHBWXSciQDYHTcb8
luULs0zxfQzapy8S2d+Cz6h3FWLdKzRX9P1I+YLo6SykOasvwhH+ZxfuyatBnGpG45ZiPABGVRtr
afLrZuQsK5mJbi26krHRQg9KYsBrvs8WgPgAVRJZZ7gOMLqc0nQC7IQF4MzCM7sJJLD1IJTIQQvT
fowT7Z2NsZU9x0FVPNALSPeMAuunxpf2I9N5IIdisOqnWrr9zHfSFCuoq8IOSczEuz76Lh00w22L
BzWAMg0IWbwhdLB7jrg0Z0nW1Fd+n72ZFvcUJbf9SNDS26iG6BbyV3UyLEtjQhDaGapGgHxtAW6X
dzsskuss9ccv2Zi6tOH4tZGW6R5gsrPiGEDlWEB+Ok1jysAVatr0Mnbq8Ip4r/LNN0Lr0qoyLmJf
0DKwjQGs/vtjX6iYstAkGoiYEmKvUi5C1FMrzy4NSUqk+C6Y8RWtYpTazyHChpUkNWkDsRmCc9Hp
al5Xc+sXe1JKzPrC6nUdbjia669JVBvh1rZoP6/LKocj55tle26AAnkMjNK7A8Il32yREEf5Lnrp
WDlNM2gOgNnDh8r2rTunrHh+vNb0kLFhmYaAnCS0BPqRRHgi3Gmy0o+jXozGHMukXYNLM+LcWMOx
DVEvt7x2S3bqWrtscfMUBvvOqYHZecVQJ2goDYCwhLdkL9DrjF24xE77YB5RAoeavBSQ1l+GNtRf
53bO92iJu2I3MGtLdxlj7nk7Z5DRVi0DMySjRJN9m8Na/bBn3i3yloh2B9Wk7rXo6qc4c70ztKqs
oWPFl8Xf4Jz6Jv3KRRRirK2cO8GMM39uYhsO4YJMbBeZet5mb3aQhOcRTqdTvohFJwqkoDEpEJaJ
9JPLOA8XwOciXzG4QyQ1Qex2WNUojQhVSCCLZQia8g3Ja8lrWdPbKsmzo4JLQAi5Vv8V9b3eO7Ii
6DMkcXY7D0F5ujReVLRAlozOXCur2BP284r0j6xWBYetsQ9dpb8xrk1PJT6lbR8RH8ZWKG7ekZFW
ydcyrUJfwHlGGp3znrsQMVZ2LfLHwKrnM9yBO0m5h5tirLu1HHLFcDLNyMLrCh5qVsXxOinqaVP2
WXjlcKjcNQZvfQ6zeqM1lHRHUYbPLaubHDrQicu+W7v8bltmL0grCZ+mYf5C8z24cXRnXVbxYN1l
hKafjv0yCmVBxaEOBtkspmqjMQltPcVUY4XaO7zqyn74rowWon6sWHMSNw9uLB/+oGsWLx4tDdiG
rB8+oas3KLMXil2LOkAsXSR0tLiXqrw9t4aelez9pNWHbbMvaEdsgMeziNn0uH0GGXQ2qvaQqqBb
Yy0bvideeVKXxMvFoTJ5gmFPt2lx5dQgdpLBCbgJsr5SzXKuruzqjEk2D9PQJCQJSstd52grMWSF
AwCo3tq+r7pDkj7hdrHwoLJa6eUZ8czZugSWnV5mHlxsPSUZaxwniZVhdN4lWVg7RazRWlfEvHsO
uQp4HaAAIky5T0eu0CyicjOa5C67BklZPXc4w6rfMtBlN7jTdbzkxpblaTT38kb1rD1GzOoxhCjd
ci255mHVI6TEeBuXED6dyDa/hVbfnWnD4zxa9VdBjnFO+SZwygSxvQxj44IB0ZXDNPyrkWXqasJU
dRFl82NqOsNjkE9UuxNxwO5iF5lDsnjLpJFXNZac6yJ/Ek0rCX1N3oh5iddkTt/zPj+0mgQvbEvG
NolB/gEdra9cxAgF22K8Z3H/ZniAFhB4u6fYS9wTI02Kh6Zk5cX7GD6YMrDuUmTj1XrmltZ/L7L0
puvdzD3YUXsNaB5HUpIDF3AVYX89wyPPbfdIDla2ldTDChF5RneF3lC1yijyGh6RLJRrKzbzk3Jo
zJDoQgH5Mm9lu5l0QwoFzhSikglp7MyVFw2kfNXSvlfSlqcDs/XTSnS0uqugb06dQsHYt+RkgzVv
xkr4Z9PwjrSmHdiy/pFyG31pCO0gkypn0rp3Uy0TIs9CR48rOvM6QM7WE/YU+T1G3jVn8bb3IXO2
4k1NWUJYDoqF19rz45WVxuJkDERtrREntyhSG/TNjcJfxTUQ+ZSuu7brrktfAG7L3B4IGV3CbNth
mXSJteqZ27L2qGccIzlAmrG4JQCDWMHa8okY5HDtkkMnJo1nLMs3aW1+c4P+UGcZqTATEk46uwl2
Hd4vFg59A+vCuMDNYiwaCzmyV9vTnvfURreXkQoJQbc72A15yGMTveSJl6PTgJxom6ShkVNufZU0
+S579mhrNcaAwkvXRmQZFs58yesaf48LYeFIt0B2FmIMOVoaGIVGzwx2IibZYuX6LN9IT3ritYRL
b8YNC29T84MPeT9IuQ4A3X6SZvMbUCVgEE3tbzLWpL9mvad4/3LCxqMF2w230qFhA9349qAvurin
0xe0nBPeyauTYzAFsWfOFXlIRiAvPCh3R8bpygo/s4Z/VApQVyzfhw6Bhcl/KXaPmuECUiDvAN+H
qc9DD8S/zVlTYfq9lEX/JZrY5v588P+tMqQJDvOJT7I4jxOg+LHEUK72JIbX4qAbDmFlBCzUwmZ4
KIngXVKnPxskHzmn338h/e4lzwe+Au3Mo8qpbDnguH5esKA04JFZJSC+kRMIFrGVLwRChABSEs6D
XjBcv287QzVb/j6xoYInKLJhUZIegisL6bBiX//z9ViQ57+Mev7+ft7Cw8IkCK38uCivR1xQgduj
T5fSPe21km8V+EQgcN2gTILXXQ7bBdg8nDeZ1V1qn7OmBW/hClqxjTJYvnCUKU8DuyHR26byVGld
ynUBX/iMBLnwvKSJCIxVhdsOxypS2D7yDnHEquyMFK5blwTfW5KD3Bfmd7NekYSg94FhiRuMGmzA
Ee7fByKMs+f3XbEkRjFAEkuI3yfX4qj7/fNacKJcoqKXFPujhwMsTgQGTuWHziduxDNUheQPuMzg
uF+bVBgHg2MjpgJ8O14beuu47T4ZAP5WZ4eErgVI4pZRDY/p0TfoJn9AtmWlB/iU6d4zYhxT7vDZ
MvBbx4JPoVGBPgXtlRDH9xwBIwE6ZZUefAK6MCyxcJW1360bG+H5yscZtCJNML1M8O99/fPzZn+c
/yzXeAG5LP0fVE9L7PbHF3Cycle3xZAcyN4kW61wq/DciJb5YM/RGP2qN12Fhhc+lO70kIdT82bU
3rDtSGwisYLwnXRZb5nbNsjGnW2M12Tnunl74PwdnpOToX5AjI66EyJHKVzfv/1/+tWf9Ks9astf
7vNv7er1S5G+VW35ETX297/1LzaQ5f5FwJlLU3oR1AYef+FP1Jhlu3/R5uStcyFM0HX+0Kqm24So
yWS9xre3vJL/Qo3ZfyHGwPkYsKM5qAetfws19nHk5JkLD3DB36AxRspsu8s6+cvO2M2Y0Zu+Hy/L
ge6LpnNcryonQ16Ri0HfAOWcTrNRo/owOYE8dZWr73NXjbRLw7J5/OXq/UNT1jraF5dvgzSQd1Ow
7tFWPOqEMdTH4pz0zG2a0qKymykjelH56D50VzG5Htz+SeiamryVAdPJJmt5daNZCXfNhlv+CLvO
vOLvSPqNXRTWPYLUwNrDeoleIWBY4yf76ns7+r8lA+/Xz0UogIiT4wog7aN9zl0mXX44dZcOygHI
4zgO7/WSrbjrxFRBdp5GK9ukEHFX8zI5W0HYdvZSt9THra66H0S+Kwu8a+1tVJdWmvyVBFWIaL08
3mIsS66RFZ1KFSZqsxxwHlTSnOWU1iNFjeFfpOD85Sfnpd9vA0pRkwExKnDq6uMePPjCeDDqQl2W
cFcfyMO14Dez8dSruuzHa+xn4W0dWcUni+TRnkzQNosyExr615gsbGf5Wr88i545xm6t4vKyDKjK
2Gz7yxLHShpEycOfH7SjneD9k4iPNdEE0JlnUf74STWL7Ny0SXUZ1Oy/SxJ2sY+6YLJXeZ1sTZIk
5rVjTszLM4y78rOH5mgz4OMXuQtMGRR7IPaOP14IJyVGjsAI0eTeCyl13ksOFLTYe7NURFkSrjWZ
3HoC3JvBXjV5JV67IlQnVI3u+Yj1DMsTUhHYx6KU905b284mCabptTY4YZnGLMXaCysXu5jDAPmz
A8PvNwqhK8sGszLbXTSDHy+f6fde6XkRpUQfyRfIBOQDWUbele4KRUcZn1Jp59/iAGTgODcJLmp3
TKnrtXjrwCtX6ymJmazimnxNW0f80PinxGdHCu+3m7wQnhby0qKzWlTAH7+l3wap2Sadc5G5TR2F
5NMRowkgeXTCXQcbet2OjXmjkV/0wE0SsW6tco9Jqt4Xbk3rqWjkl7rAB8lMe4gfh0xWJ5NCWlp7
TX2PIRaJL30ObIEZLZu0c7IBsrAqL4faUFdEhLBNx9QOK2OOOBnaOpEHz++KL4S6XcdT6YyrohfN
JZTUu84GC7UhwWApGiebtYEWK8b7IcjOcRgFTxGI/tPED4iBjoF0rAczcSUgzCk9MfCJy9UwoYu3
gCJs5mz8jjK2u+1NQyQrsiXEDsh6f+JGtn3XJNaAJ1oYFinJSR59Y+TX6lVaNsZzL4WkFFP2CUiR
+sRqwuJHirSJ996R+S30oxGocOPGp23UAlrkOuzRdIVXDS10GBhts7Os0dLbAst9vNZDTP2uyX/f
SuT4m55aK4mM2NyQDd4d2GrsYV3SrUTGLIqvozQTph9hfes5nbfvw8ywd8qX80vgV+1WmSOgB50H
8c4YR/MF2/XwpuK6Bu1sd2YPId8mzXzssoqXYxi2U6z7gEj5iHBwCrlDyR8F3ejSF/Xp+6NPUBkt
KBFBhUQAOs4rtwMw73RGKfetn2+pGSfzZqCepHQBZo1sHEDJjriVUO1HR4znfj7PRXTTDw0uy9WU
wtJofyRRYtvzkxqMUUjS7LGp5tV3GzJDhzKm7/q+Ni+7vJP5eBqSeLLXIfSREwm4vV69Z8SYwnAI
VyS3Zd1zDyLsgfQKuV1k2mFJJj+MCHD4zVs/H2KS9RAyRVcIvOjeHvJJDMmG2iHsUPR0Dk/UEFXW
0ptiL9z5RpJFV5pXh1MieNqAB84BVbkri7QNEfeweUXbUaf+2ohQXHirKTIJ0kCWRm2ehNQKu6EQ
BZk7UF7ynVfGcl4Hs8eKWZIN2K9lgv16pdUUq2uVGhJHc5wGb0avySLbmJXd7VOaFMGlZ0QxtGlH
dBiF1yW2vXk6KIb7bbKtUeEt0QB6bnY0Tsp0NxU0Dg6mou239kA8pGtBoCDZUGlDA5nbaj8iyQOv
jf2A0Hn+YxpXRWYaiktelo+ZlKE8cdqwK7Z50vlf5r5znF0GscA6S4ZEgQEXiZ10+whFTXnLZuyc
ZvFs57i6+AbbqiviGbL3iDEUb289XMiACdOW4O+63UQWXtsWXUKxiSMn7jeCZl69SgVhniRXZM78
itkt9DcBX0BunAmkxIkF++QQpyL313aOS3mTVmm0mcmA9FDM05q4zqIhc9cwSrJ5JRGBG2ckJbo7
q45ij68binprITqviKCCRLjNQzchVYk/R9MiXQjlTUx4OzYa493GZeA2mqoJJCvvkX1pzWUKKzzQ
ruHcAQaw+0u/DmkWlWHTXYA0ZkuKFX0qQBKSKn8XQR0sn6BblMlpM8li3EEmndMzC4zQnZvZ3os3
RihmA4uHF5D7KJwtoDvGH5I4K2YmeIDVGg8l7s+0eSqGgZNFFmf6Vnn+8K1uE+egBQXSNsg9IkxI
E+Pv8YoKgEPZasytjD3cG4VE7s7qDP7E4ONNRMQ9MSsE1JbBQR9tezgpRQx1MjUEFZXZLA9nljVq
LwqVqOtxcjuySZqBe5MMJV+sUiy6Z+xg4QO9DJ5uySrZbqjmxuqEnmRkX2fMEPIvdlCG7sno4ua4
6IjI4PAJqffaA3EwbqtB8tFVNVPOI/Pt5r2Zi+XHL199YH3ie9XSunS9kl8BIoFLtbCCYKXlmlen
LrDa3pSt4JVve04FMf+MNRVBb3LVICJf3MB1YnK78Ub1F9LA2rJKSVQbd/SgTdJAdGMviwYv05pf
xAIyhtZyTkYS/BDRqzwNdEo+T0Brj+cCkszLgBwVdESbTV+cbjTVWcwxNzur6jLPbgN2i70qTcC9
Ydw8UeP6DcCaJLVPKyJC+7MIfYveTK1oBg64k7OvbS7r2hTN9B31hnc99sqsDo056fxx8GWsDjIy
5Ns0h8sagmUr2VAHUNKmeA/IuPFl+Ggw2tzJoY7hFLgsc1M7JF9SMJ1noSS8cePZrR2z7GHaWGHO
Cx/aDJTwtrBLXpMZ23R44paV1bxKFuTpFLkO78awrNjbzDO4oqOe9ZZNZmjOSFQkQxFTb6fZaR1t
cvRusmfmXuGdAdDJIqOyI/yHcF2idCWaJH2SDjZ/1UiCwLx2h9iPT2puC0DxPPSRDGrdXYyTKJg7
YVsNhDqgG9Y04mEHARrH+Trva4zX1UXpj+458yW32iZNKfVZDBYDeJinZHLHSUT9MMNFEM3SqZYE
R0XibTjooGEXmJrbIm6s9KtVzU6gVzMnsOm+BjgS8pcpfPIJhJL41Ijq4RvodEOvC6H8/ASJq3Uz
KgQ9+7aHKbpN556HFEtW5lyPeTF7l9KvC4TWtTZ9sBQJ3JmJ043aDgnJDlvGYyn96llI1g6lEIyP
DjwqXdhBu5+h1fBV3TEWmymaTEU4hfKbRxocDJ7w9WLNbtPwgWddquuSqSMLrF2HhDHJxCdorn+y
g34ILGx6Wtx7dsmgb8BW5F640UJ6bIgTggEQ80RvURBzNykcpvE8dbq8OhdtnTjXNk4s/4T5esjv
Gkc41HlrkIeNrYc1g9NY310Q/8X3b2n97FQS5AkZUaZ5MsHNYa6A6iVduVEi/rZH/aeT8kknhabe
0nP+f/PbH19V978eUuIuj7opP//Nn+0UIf7Ct4roB8ukh1fg18BL+y8f7wiuMFpsLu0WqpZ/Kf/M
v9CSLfpr8imhxy0m+n+1U+C9A203EdDhGXonNP8byj8cwxQVv/QDFuMI1R0xBcKi6PjNRxxP7lAQ
05ycKCn6syooPahpdq3O2PHdTeFCSlvlvWN9UZaxmiQ6fDMd001hWsMh5+SUbaOoF7u2C9vbMODP
hE4RPqRBV+yT0IhXDmgshhOj1+x6X3Y5QITEO1EwR9odaqVoXoNFG/wVhvLCo2jHM6JDooK9GusC
3LXTEkCRXrUTeR6xDOJ7q2R3W2m8Chyisq/hgLdcASji6VfTPQ62ZYlDCZ1qA5AcXJWbeKisU1qS
TKhHyOTbLoIbs2bZbb54U5Oe869Y9aY1hd7XlXGTRnWmNsmYDYfWaaqLecAaQeKb+Ti3rSYV05zu
SOx2dlOrkms7ZLFYgblb2FVlTvIMAT6b1MqKHThPDR90mORtnHjeznbGep0p/rEwG+sstNL7Kqfl
EgedvgjcaRfA2FwbQNkgVFQo18HUdrd5nYlrDsTOTUQPBDG637rWroJqgfcV6scm7CNmjIIgOLvW
1soH7bDhO+cbR3UuRWsoAcMLsYpG55ETQX2w0uRcuCSP4t2+ioMZ9oo9mW6xEexNa9cbXAIp49kl
BrvV0UrBAwJvM3crGAKHEI/7vcvgMFvV6WxtDQ05y+XsL1FWlB73w+vP5wCxQWY+pZywNj2/ZcvI
+iECm3MaDu39lE8uQCWzfMYdN50yRxWkywXJxsunbWx13qbI4viLckun3GgIwRdBJptLDnGkurEN
J4KBKbmDca/869wxoo2RCP0UtZF9A5gk28JtGs+nuX7tbKDGJHeDtoqaNF5QP+p0hJrdZiDxaXSM
54VPulxh+dGmL43oxnK6r7GqyrXXifwk8dsoPhs6s9A3IyCB5qWNY/UM2Kp/SzNt3fhAsM4yYC+3
ORxTvJFlfw59qPHXnZZcsqGW7UVvm8/D6PaXRm0b5IGbr2jQn8UwQCGUXtmcaEapqyJ1zCugxJba
AIsiuZCZ491s9PR0EC5t/SYq+jUq914eTLf3sl3kV2WB6WcYnpN4rqhSpz6tt8pgYAtju7VWM3d5
64kO/mepNL2Dityh3EzM87ph2gcnfIpudG1fD571NKvwySQStaXXtW3hEqGU9NM6XLtkl7d7CiR7
b8a2/0hM+10c1a8mIWDTgjOuty1OhYNXINq8SmhGwFwPgFomvn2IWXO+8DfEK+Go5FI16Rn9x+EE
nBoJCRA7knHdx2jMLlSo5ngfRGMbr/u2fpL0GPsvLUm7fCVF4dNH1xrawapt8vpiAtq+Udofd70Z
En7mJCd5PuvmBj1PIA99ZEnKnn7KznLHzHJ6j4x7gSJW3oXynGgrnCrB+xFZ26buhpUvcApYtR88
YqnD39LNZyVVLaIIlRDaUnBs9tEcedHE4Muchl3p0kOJxyL/OnpEIsqsGc6CVOzcsmOcj5qo56jh
IlhpM+8mqWS+rX3S+PwhYWKsyaTPIDudZrkDHIACe6+xxK016XAXg/YGrgBMwrsGnvqJ1wXtxWh2
xsMQb5K+OOtRYG1koepihbUq2I74XJA4nfnT+NWORqKGWzoigHfnLQlt9VnhmdWFRSlDxLZrjO2q
gZFPVmKPVv0EZVHAStU2N+gCnLvAC5K179foVXD1DGuANtM+MqJKMDPP86c5C/uVO4rhDIA/naJW
Pxd5wMxR94Qn4zxrd7CJmbXP+rKY4+mtTzhdJRrEa0LGKC6utO73Y6S+u5HfbHxKQiR0fmltKtvs
TyI5QTurohYDSf/MxuLvBsxDh3JuBt7SqFrKwnoY4EnhU/tul+w2W7wy6hzgf7jTsXUb0/w+4Jwy
z1JT1Ou2JCCu+C/2znQ5TiXt1rdyboAIIBn/FjWoSoM1WNq2/hCW5c08JJBMV3+eVKm7t+Xvs6PP
79PR0Yq2y6KAJMl837We5aOKTNfuom8DcwPpJYBzRPgZlM/xAuCseTQX4tjjsEiP3kRWLRpi89Ib
JnPDGzvY961pXynfCi/n2s92s13eA1LEA0zKxkG7gQIct9nfCtYQlVA/cNj7MvdO1lhuMY/Kowyt
Chd/UsitOYvbzmoio5ltwHA8otdpSxMvI0KUGh6iJUJ/QrYMmXUCf0D1QslL4l/lzlzn/hX2G1DF
qp12eVm2V5QEEqIInPTYreELe/UKO1X3yuZHofucXmgWq51pLdZOKV43VpceAzpwkLxLDdwMbkYr
vmerIG5EZcN7VKN7h5Ks2ncGgXJLfq/M3rib0vx25rqe4tm1eRrLm8Sv1v3sFSGvxgyr5cYbe2/v
rn0H9SwkZMUd1YAKcF4enWJZNlC2JudeqizxTms+LOp6Idis2dm8ObuNnc2ChrMpMFFvHMhf5s6j
pm7u0hjr2wPxMaHxZertGVCy71M3zFy0duZY1P66QclXls7OHyxruWjd7MH1O21nH6GigvIonZux
sDqGlWuJDSDqvNmYVlf9WBprdjemWuUnG7BDum1Rmv4lWjX/pdNnT/6QW5dK1v1BLsb0xsGePZK0
i/FkUsdi6i9rrsGYDhdLZZLBh2/+QqMDvy15ALSzUflpBPmO2tv2q/uATcsJZmZPwYeYez+c9osd
JK/sf41DP0zubQ8ZeD8FEkwd+Y71pmLPRIiF4AIVC+be1EySJ2eJiRbPK+hdbYFohTqHc5F1qzNu
zZXC8EQO97Th7bZOm4a28WUHqDlF/tu1Vg9qVIWkyED/27s977YNFaEALLSPCm0tyvS0QPpLQAH0
ozqa6aIuy7QwjgZ0LBZ+1HQBjggn/GS5Bn3oZlhlti9cSKpNEK7dNhXK2xaJNL/2bp5a2zk3cxKo
Onmfh2zHKGaiIGoo0h16SPP7Dk/rxWqlIHNBIrOThevq9+xnl+Gvkir5lp2TdQXysiJNhpv/hUhD
Z+/17kEMsSLJeh2IhwzoBPLvsxhznhgpTxnTuAG3lezEbFQ3Dm5UHY3jS6AvEG6OTuaYf8UxstmE
3K80SnAbF/t2cWqyVwu0k/QHhi9M3utOcJEum9B6cUgJ58F2EVpwR2O5KQtzmSmVFqCUBpWTT6pc
OxqQBbeR46XVJ4L7Aivy6AntBje9pjfe7kNK21eT8t2jlwbtEtUicO964NlQbNy6PDi11+1Cbtop
UL0ct9hlltc5DtLnkDX3o714/mXsACvHSzn6V73J0mwbJ1YSXlemi7Rr8b8Mlej/WmLqPF7iOvvS
WJPIRs507Oxl7QhBzr2vAh4g9IGgRcCIJIx3iR1elzntGJsSZzTIzPrGfJqdssmwduwwvS8j+KoF
dWvlx3tDZinNCXO1N8lQdfulHsS9shqxoyZG1PniF7vCycJDOFdq587jeAnzdLpZUN7e9z7EZox2
c5S75Fw29K++LXKiP2s3DYVCqiZgwK2220l7RGPazKhLIUjsDOSve3vE2WjX9nzV9tl6w9a9fQBX
TFoi83n+dzNY/WeoreWXxDLLZOsueXhCDBifMhTjJzgRcg+bSF6awBrvxDpM9CXa5mivJgeg3LxB
ANXu8D1brP1Nb0fTSEXI8VLay2VV71F9uAckYvWRvfe8acNy+kwfTOwNcn0HmKmfsqSD15BX400O
G+2SSWLc8gDysPijzYKFmU8UHQxZQ7a7oso9pPZW1RC/vMhNU/U869DlLykUxLuyMiULqKEkCNRz
1wsfdtguk8r7m+by9OpVcxpQgwvn69G2Z7GfOqc5t/7+//7/vP//3qh66Jb7H0nW1D/597TE7X/f
/T/W2fDj9f88DN+GH/0v/+597++R2uZTvUdE8y+T3ruUwiJmCTEXsraQCrsDMO/fW38ds0QZkBQ1
YFu6JPC+77cIcyOTG3UFzlFawMB8/ot9v9C9xP9s+/URLZtoABx41BFQ9Ole5D9a16UFKoWKsfsD
Yr6mW9mto7lTZ8Km66q2+OYYndvva7n0i7NFRemyUjea2CTronMAuTb2XPgniO44f4vQqOXFFLIq
vaYD2RoLT/bsti9uAcuYWATPK3MRJfRmrR8+ubPqvkxnv/wWBC7wFvgCUCkTL9OgGLgSPV/Fad2u
+pRa5jARjly6XYHQY3Kr6sryF8lXTqoKxJpdCWxpRj9qX9A/bun/oO74WVXwlrREigquzJD6DZfr
o+jRqjIFRyf4AecK/urFUDmlgxJq7Dv/Yu0TQhqgpbZIbkozzuz4D133DyLQt1glZl+a7gF9ll9t
mfRgAkTUXvaaW4WGNw6N0CE16G8MaGCwxtC1bWkYJ4DIDMdY2/p2coSmsVkOgmZxwjRYo2BtMMMD
iUdIJ/m7318j7+dxRIleYFBlCHlUj/Sw/HkczWlm2GknjFePrYBpk2LtJ77cl4EzCBbPhIV4z3RG
0Hn9/rgf7o0+LkmdPhIlnN6B+HjcVi2N3xgieAUgX2KiGk3kH19SOsbk4E15pjJEozBOodWnDfmH
f1AUaMHAPx4fDo8SA787ticik34xiyXumBnmnIpXwy99KSJ3Mj3YigrI6bFZedncZAbAEqZ6uagH
yI/mmuLXzEouyu8vxK/fJEB3RYAqulU25h9JADC2YPkuZvfqeBOP3H6xPNK70T1Oqnd2SFEc77lT
XAIEUEhLveeGzgb+jjEjHHj6w135uZjo+Np5j9XWDTxydSAUfhgNRKOa+QJp6jvpx7XbHRrZ4nff
YQHpw+WwBN3MEPn9+VsfZjKOSR2Up4QHFUf0L8LdJFxzmDOD8ZJmQByMC7CO+oFA7Jr2DZnnubM6
EWmMCxmQMyIeLoSbmal6qFovZw1mEHNBxENadcRKsLuy7zGd1f3L77/mz9oOh+IqRmQ0YtCOmcMR
yP78nNCFDmA7r/PL3A2sLNh2FCb3x5wnwapj7sRoPLQgNfRDM0yN/pG1ifrD/fnlYqEb1jwTUHY4
DXHmffgagQRYt/Re81KXroZx58xebBQIyYCAfClil3m/T1RXIPJxNR+xo36lAw4MGlYk0qTMtnrm
f+OG0Ystx0tnLtqm+sO0Yn0c1pq2Stlbe3W5w95HiOgsJoxPBEm/9IRpAFYlu6QlklKuA6rlaJKL
ZjiCABr5u2aRFQy0oFgX42Fq2/hIw4UKYlStK1J1GtfIwihJmR7WXuWSJXBP0y5ZkbgI4Lvwh4gE
tOqTSYuP38pOQrOif3//rZ91ixpeaQUkcnnkOrhatKwn0n+8cBmZtRyRkz/7buPmbtSaoEwlcDSl
0/mgo77FEi3n2bNUDn8HI5jppLViDcmZp0F41NAn0nD+9Aw5H2dxFMYsRuB6avAMz+6HYVEAKa5o
jLbPNLSzTu4EWiHnGoOLAIrdK833O6Pkq3ReqMeptMO5FDHhT959ItfYwBiA7eipM1Tv3QSZpxcI
8xm6XyhX356mFyFD6JwN0HY5gSUrtVfMb0AI9Usr4+pzg5o61Gw8DJqwvoNqnrl3ws0XfvSrmYBv
bt1e9NSs4LujepqTjAWGfDt8GCQ6ByloKN7z3mPxwDfPjFqvDYbWrUjU670alEw4dtb44IhmHa66
rojx5MDut6vISEAqXSTE3Sdf66COnafRHDXZ1weGQ1IJDH2WKL8fGx9nTa3vJmGCnjEyawAQH4aG
iFGgWWFbPq8W6/+ETjyFKx20kDflUSg5MVH8/ogfZyOgRg7QPN7bFsuMX46INoicqUpMX8VKIdmN
JvBuTH82mzNe3p62Mz+TprMyCNFYoJa7RpxObe8PT7lezv70GkXsBr6Gd4WLvPBXhtkqQKIboVc9
VRTEB9JmGlIgfzQy1bExadHXFjHvfpPdYkvVsME2dRtEpsFgjw0tD38qkZ/aibws48B7mInaI4m2
nyxvvB8Cw8wi6a4ziErkV2zKTCemNU3d0dIPOxDD8b4ZU1YXx1ijhXjyR9wvnwAM++2yYZcm5j8p
+j/OaySkBibLDc6aPQFCrA/y28KDcz7J3n+kkm2yiHU79uWX9rjqcUun0HEuUovdsKSsFQp+JLh2
9VTntXpIC5VPdvxAkVf/oS2zFYpBhppST5Fy7TGRy3Jkb3xY3aXgqYsnbMGaagBH6anzLU0a//1Y
sj/MbPQOQZOwNfEwDfwPYFhASxUZbbX9GAyp4Nka2kR/gcEQOqPq/BzDBFn4bjHpPzzizJV6Sula
yYvGSKnbXVKK038EPZvYyzLMCbTKJiKCsLO+RT3hfeNTWSr0KS5J5fX7wvA7sW/hCYk+WnhfcLp/
OLUPq0wNB8X7YKMcBSr0K98IwJnll6pZHkUy6plqeIuZW8mAab4PZlBQMV2GRq5PPsRrJrfKaHS8
BHxDnRi0Vh46o30oDDU9skrViPLJzwWjT4wkOvxdZwAUxgPtSk2y7RXT5kUG6IdpDSipngWzITb5
f+yxLC5FlTjkSQzYvwCquiUtAsLuQlvnfZ2vj54KdS7wvze2/8Mu6MMz+gYtRTRrw4q1kCB/NIJY
0+p4iyeNz+QA4qjbn5e3NrGHY0EHDQh7/adp4cPrSB8SXAZyZ15L2mzw4XWkY04cr539z72yGCHD
AnwHI+s6cH2cvHUadxdP1M/hdZa0qbuLcgTz+K1i0uMqoTQqh1vf64OYHtngIMFgF2KP913Z8Km5
MnjwBzrB3s37bUvkVHMpCS/U9GeeIn07EvhaXHojzyx+hFSSxnuzIecWv0+BQf6J+B29T/391abl
/vOcyMnrlwCTBP14VkEfdzYsB3sUp/PyOU0XD13VoAoB7Xky4/zGs1enW3Yy7bw22MCn+0/8k1kq
FP30RdMPyU+Ixefku5mV5sUUK4f67P8S/+SMljmv2z9HPpmdFW7rmrjyKJ8H9YfIp9lwcyffYxpR
zr/CnszZUpM6/CblqUsZiu1xfst3kn2be/t/ZjtNXmNnT8opk3grnMH+kOpEQDOart/lOSWo8FJz
d85wwsAJhuDx1/Am3hi+enU7z/t3bFNLxGra3/0/JTWpYZpMColTb+UX/0VG04wkv3Ousb6MDGka
Jn2b3hFSMBDgWtdO2/pHLPGYm69qdy5kssuJuQBlNrlxkmX72Kkm5d7HtS3k0cudNAn2jBVPkOE2
rqbOre6DbAo3ieF4AH7TuFvz5TglxPFkhymreNtERTg5TLCQPRWxrIbyXNT9kzsZMbY7li3WjWpZ
dYWbYRHB7H2CsQ+R5NNw/kMjy4ACUjtnV99Fa9M78mVVMrTHU+6R5WZfWLOBSCFaqAor/zDXuVUR
mAVnhvei6RKyOV4lwuWl8m2OF8/EqAspwU0+oT+bWh/dqZFPJcVdYdjtsVDAI8ZPHmaILNzIMNQ1
Cb+jEF88kYIbG+ul45BfkuwM9AJWdc2sLVP3kuBUtIxXSD0zq7zN8ykP4t2UMxEQD5lZdEgjpiz9
lZaRrDR7ZybgFOjp6VhNlM4DZOb6iw0SguNVOT2MR4WkXEYdW2+uLEKxTHpjZMEf4Jfw/VmybKQM
9ZreSVFVsDFAsSq8PTBqfcVEORT8aPp0MB7qytdTvgMPM6AfOw0NA2CtWW8ckN9UfK49n2o6YMzg
F1OC5poOYa/jlMvUYpNZW5m+PRZRCbb7lwW0nw/WDllSkJ2V0XErjLoIUueHlGxo5B6VNyutCIEb
UZ54W1IXG+LaOEqqJ7pU8Ce4XgaS3kOqVsea0Wr4+itn3Gl6dx4jiyMI/kq+EKKkB5hHxC933sXf
JF/KsNKXZhwxfYFLHLDf8h1GEro4x/fz6Toh5AsFt5Q/A4LVeA+F68ShQOoTUgDCUp5aXIv30YO9
Cj0wXTJDn1xMshk/KJvrof6+xg3dVQe226InIlCYWWc8vF9q4/zxf13k8+eoFNjEvNhtxRega5yO
L0WGA7SDpCIWTlra68xBEvQmmfnABjzB/eWeb1SDwoahxs5bdckROuwSu9qaOy7ep7BSDVcJJXDJ
R5AVwhjCGEYiabihxaQXvUmFioxn1E9M+RKeryAkcZT92/dzSu2MPVrUktw1WReLCjTV2zzf2vPw
8DAnc308J+MqoAgB09tFs7ekjNPkDPJGJOvxh0sjTT99XI3MUQO43lToy3seSKta0GfvOEn9W6ys
6zkOHlLB6OqHVH/18wU11gm+AG4P0Tj+DvA70tzjarv+3B4SXUQyd1Om06muwjzRlY9+4v5mo2/L
F0ABNcOnh8akTx4FEsO1p5atf6E96h/OiFWHK4IVg48ACNWXqVZekk6PqkzKJNvXScDvTWmeJuKC
1pVvDZfiPFayvA8H//B+yUNYK3ydOSNBk46pOTccPG8zYnsOoyVXz3xk5ZYH45a0XAIkIrNPYg5O
fxOj5XYoCc08lhQMKNlwm1J19JtEP85YsnShp0ColQd7gpRoYJ5E2ENLvxicxsSdUIZOWREX2pNe
dEQkCAJ+kw4SqdmGRaNb3lRS8b+EdVK3c82JriuhwHZQ0tEeYooCU5dzdCtNmvHJq2PanTu8+Hrs
TyFTeb6fhSRDF2oA/KyAfpKvA3pno47xZrkhoYLzVxOqFvNNUjYN6Ubv5eR8KNOOeJgU5Hf7nThr
RwgoDSmX4yDenhnZEGTJbY+nIl6fREp68PAoxZRO3sVwPnUEUz2XSLTzWnBGRTL17s4jMJNZbqBV
xd9Zc6tHDfUqPcTP9dOA+A2ugKVsfb5DBs3doL26ABLdyozqI26AcqWuDMarqEMiVLPFq65Fa3V8
wsO5zKAeXcLkHt6LLEBFyo5kwFqiEDsmsdSdPuhIuvSmretUDaWLbAGli1Ww9a0q9k41lhUKE+5l
VcDeA/QB+IcifFIEIDC2wosX3nn9wkyDElh4+uIRQqZLBUSQFtTi85KgFPeyW0rO8uvE8iw2TlPc
d112E4pcFymRCDD9+AXZFcMdmUzVgpUlzo0FC9rUIt7ZUrqwPGdDjFjgPTuJsNiS/ytx2nBWzsqr
K/3aqNxYD7fO7iwG3/lK5kNDJVpkJtyV07Si3vfvilVNxkPHYpqqwtrK0HtmvmV8GVO7cgVygNN6
GLVE+Mg920tdpSohTelaQFg1U/uMfTSV9MTn0itvPE+2S7x37KYfjL8nhI9zvOONJlBz9iX1byMK
SsvvnqhITsXw2Uwk2r4odheRgmsC+CXkazhm+AC+9sRyd+ahQ/CJeMuw1754Wh1lO82GaAo2HBs0
Hg1EbSjwobIUo7zKQxvZFBYRHw/qRGdq3r6fyfle6iQCLo+LSEuf1tt0U5ajnv9C3AT8YPWvH15Q
tvoT9Vv1Ps4hJABnsUyDTyzJoj8YC6oT1Y6du+5tECfQ8ignM1qEm3VYrHaX86DqpzKs9N+8D1kC
QZmJsPvpvzqX4PV0auAHmBfMhBvL7szgVqU+OtXNhHeJG72QgG4fNduaf5QYqy4H9vSJ+OGwLBuO
ckWX8+BgmCtvqFvqb15kdBqf3w8E94BXmmSoGA/nHVud5atf0HpvlXOHF0ufX3EuNEqgoIwGo5S6
CNkDanecbQVTB1hRKj1lPKjMhTm9GSa6eOMpsxO9jENmzzH8sdRfS709cEZT8B4hdA/3DEsZW7cZ
tzT79Zj0Y7xJSNDSvq4Ikc5Lnsb9+YJQB9aTXhF4eonlIDXOL1NblH7wh8LXhw09tRzmB0Yw5AYM
ob+UlbFRsTgtWvshbRqPb+0nJCY+dFPDNCsBwfEliJQMuQojFia++x92dz/v7fThCfX2XJ1WYXH8
DxvbTs2NMfU+parz1JjrOCtKHDRUyj/kyHwooPM04Z8xORYlK/7X09v6f9SbJ1Bn2JAtWOnnMWKS
Od5E+Eod55Mf0rNiRvZSfVNVRmjIQ+MgOwCVcZ4cf3/aP5cQXNAxFv8FHINpXzDO7Z+/SzwKEiB4
9B5C7W9+zlxLr8d70GNitzYsnf90nX89oB2GFA60zZ3iYvihooouHZAZvMF7Ode8KJKCN/7RX0hE
pKz59mT//gQ/Ekk4Q2q3EGAtcN8W7agPB5zL3EnqofTu32eMKQVJloJsEwvC79npgxGFZrx2WC/F
km8rVev5XHRMDUa/Qj36Q1XuFzKB3krBWqA1ShYfJboPhcYlJAMbe5O8L88PFcHX+hmfVYHucp/h
quIWpA6GURuJIi8HlhZGqr8IsDypIIiRohDvXbI4UffNTC1LxFQv+TjPR2zdZItgPxlN535We55m
f39ZP97GN7oCqS50TCwLo/2Hq8p7Vw72bIw3aV/omWl9Wwi1aKXU3WIEyrn674/nwgs29X8wbXy4
Zv7MasQmLvbm/bU3J6nMNyY4RBfVcZ8l/1VpzdW2ekgZnF9A9pLzy3QgJkyYuC7zm/NriUWyvht+
UfJc1L3UL4zfn6CeX/7Ttj6DcxioWpRCp5j///ODOC3rjFTQLS584pgLN/KryhfPHiq2Pz6Cvx7K
MaHe216g0TXETP18qCq2q0XhNLs4L0VGLMXMNbMtK378/qzepRj/ODFqhRyKmEv7rTEPh+Tno5km
fRk/S/tDtxJDhAkD1RmXUuGgUc3f/VrTQ8cSnFBbDTdVvLJbJLYgGazqkrc1EpwkQomG0/7Kdqg9
mLdk0SdJc4EyjZ7wTTxnhUXkRWzTcvraS6Tbya7LbaeWu6pU2LkjszG9vtLMdkptJOAih/Nuw3M/
r/DYjIhP2LgsOV8XcEtDJDNq9DLCLbCTT+KCjYaf4Tc18pZb8b5A8Q3+WbopzssKVujAm/B36Gns
vNUoIJDS8kxBzrkRW0O9DJhGQsqMC4DN7BNqW/EBllie8m9EX+rFnHGeAVuaozztZhtYWGqLfqis
dQO+Av/e1mv9MlckHJxLHpLXJnTH80LmbQVFZ23i+q4y0C9xX45UlthbFGAl26DhkHjF9UrBpFuR
JVE5Vz37Ker5ZV4+Cpa9objxlgGt4zH3TEMXA/oR1Xq0nPdhIfEMQm7TQlWUXanA+HQZNjmZuU0c
YYlIJpSYUqAesm9DGbb+tEuk57jys7uE49p8pt+gO1qsAXGA3uDEnBrvM7g5z0m2iJCQE+zTTlpW
HlUWi86/F7aefXByvXmyny13XobghrJZ3N4RKpsX9i6vewNHfcvEMSNsHlJ66buajGJA/dNsr92y
MQ0qE2PE0sxyAyLHl3i6KsJ+6NcN7egpYzcdBh190Sw1+wM0tWF68cyqWNJt7LDgRvELHaP7UlN5
MbAPnFtu73ORpB+eeFdBxbxNQFNaamvm+zqLwrdeJ6LD1C+d89Ao31aDtV8WbNm6EEUMrkwSkCpL
E1Abn6+BhRs/MsmE4Wcm8SZ4aOvQKPdV5uLVTpNkenCXzM23SzbFWOBHcQGtccX3P48XVDKae3TW
Nn5dN73xifgwI+mM3eeYQX3hJC6+MZ6+9CXvWuSYZkZGcWhBfw1KMRzY7FJSsmuYu6353BQ8juTE
elfelKFudtKUu2sa3T4njXiXN5n6tOblYO54dw+7YDFFyYj1qu9pqx5sy2kvO8dILquxH3Zuj/sT
7UtyMTYq3KbhFNz5bSrp67fZa9bLeFsiuN+g9623bhzKE8zcar/ENV3gunXxKBTBUuNpqklq51ce
A/ZjL93cqAO6B/JgCOc6FCQUr5slzN19mpvNQ+tQm9+UlGh6Ykea5HGa1+AbQlEIDkJVn6fAznYm
2IeTY4awsRrDIKKaMh3Oub7+0ed+fEfxMEOvNIjwFR+Iw37Gaq370c7TDHlybeysvhru+9Gh4MBU
sO2XWZ1E3y3Fxq2mAJhyGKfBl2y0w+WIAkF9723ovLtGtQPbnKxKl80o3OBHMLhwM4zY6E4VUdHu
1rGG/G4eRcE+qWou3X6wZITuuPlm5j1MFOhHl71n6REak7TCHmScTjPL2WvTL8Yj3GzjlBUitbcB
sx85URPpK+saWATCoyv8OrVy+iEJwY5wNazf+j5vbBQFLfLBde0ZuUBjyw2KqU5t23WCM0HSuEw2
JpDUm8WCErGwpYLPIUpxwmpUtidYKFhNWmVfuiXEEyq9T+60fDdVHN84Fo/P2KthS2nR1DYd6BmI
gVEoO2Cnb9rU6b4u7cyaDA/TkEBcKNBAFJGPlaHdEADifKMz3WyEXdaHhkLBxjar4Q7PUnFH6Awu
xmIYkkeZLvILYOMK5M2s5ii2ujbf5Hw/Oq4BNTcevFlbrudgIoqsT8uoXsf8W161K1RVs3oC7kZ0
Ira9O+A3wbG1uwDvkxmfnKx2vvUBNracev+4aSm4ctAYE54ysMonKrnyAvDMWNeK8FtnsKjZBqzP
8o2b9/LWm7xiz0QPlhyaqn8xWE16i04HbceUdo82DIjDqGbrkLej940s18eJffLjKqs1OMiWOBL8
ScmPhQtySIk3VTuWgcsDZGAXq78j6dgWybAx03E8emHRHiTrUAvwdB8+hvUQvuB1FJ/zLm5esK6v
PxQDXFv5bEzRuTiYvCm2cpbDA+tLY+NO9XhldH3xvJpNfRClFaPMopx8k2JM5F02MyOZeRZQD3IL
78KnMRO1fZ0fCld1j2i7BN9/tE+WWYPI8ET/lbqcvA1rKJ3WUoYPVdWtl0mfy92Ms01vg6EZ1Y45
nDrlTLc19vPPHZHW30UBAndjy2XEOVDx8FDT+oQpUF3OnT/hpJ9FQ90mqA+xh0GW7TEKS8oe4XEF
VnuFr6C7w4GWPgaUTr7KNRg+88JPiG3o/GtcogMaJi/bl2HsXtHhtkQ0VGG5DcjfEoz3rt6vidHc
FpTgbwl2b2WEMsTcd6TFfG0H5WBEc9f1qgsddYlQqaA6UDWfE7Fi8wSDO++EXwQXFj2/aGxX51Mw
JoLKfGe8GjF2d/NqcZ01C6Olmlnrbn1FSTu4KlwB93pnNl1BvlcZtvEVQK3klipLeQNus34qh+4b
/wZTKgnST33FCiZXfn4zhznyS7e1slPYtPazMmI1RQjVTSx6vnrM7HGUUDJLgeUztfxLJ9aOqtCs
aihh2CC29HEdcnXpd8MaAQS1ydchHDeViOubxqDff7kQGse19sxp6K4k+YPl3po7CziFAyRYzI5x
59dh1kbeDCNrl4Ztdw8Xcax2tHyX9LLKiibbGoRDIkKMY8s4+GPfr/dLUHcqPeilh7kNoeuWEKrG
tpmS4lSwJ8c0ZPmsXCK3UvF4TbUk7yMYt8nnyV+xjzWY9q+Q68XWdrJYIl4ObMSHJzdj99cxj3Tt
4JLDaSaQy+OLcfD8k4vTv84/r2KJbZDes8ROcrKZ7Mxj4NAROEiN5NmmY++qB/zTBYBPG1Y4CVVY
M8h4M5xwfsgEqpmNnTrlXbNYxnqY2GjmGmJhm1dkQc11ZHfU8a/xZq7TFoEcLkMqW6fcHrLIs/zi
NBjL3OefysXwwhW4dFWbc7WlTlMVWqXV2m71acA+HQzABXKvhG2igOhi9FlBdShrsaudA/E/vYIx
ChGpqinzRuswS5Af1ULjx1d5cVETntbsEhqF10VGmXQLEn++EIljBVtogqlPSQyn6rFIsDNtWuX6
y8ae6H57gz3cwJecfaKaYwdXkFMISnHU7J6s1uhex5CliehaXKkYBkk4TXAvK6DX3pwaTURvHika
+aSpd78YDu6LSKoA4lHETArOlZtnYKr5ziQkA28HJ6LduOApZjivFeA3kD723LjutWWMnnrMg7qK
L3IZON+ScXxe1zR5TNL2OQlbNwd3NFUPE9qOXRzE5IDx8jCZJLyO9pe/XpbQm286nPD7Me3CqJXt
SjIBMs12U1Vu9dDVpbftOg+ecUCU/aYbh+r7kMTrHu8znatkjq/pMAZmZBE+ILcrLxvnNuxT8eAj
IOq22Uith/GgDffo4aZXYk6KuxbvWrDrCSq9wtBM8ojsh2Sn5mTUwWBV4m+Mag6PVZPLLdSKcl/I
2H2o4X3swgHMbhG7xrVdzM6l3dK0bBLA5nj7kmZr2/H4rVa+OqyzDW8bsC6MIDMcZb+D9NzcoB+c
kC52mDbDfjLnSBZJjjGqH9tNaAFUiRoEkeqIdz6ZdwtF7ocVB+VrDCRLwsUnZq7joQTRshTdDW95
Xv4ZdN4tsPnyla8Q3/PWyfYKfkKkatIB8iyxnqm8AZYprPDQmGG191s/vzVys4tGwPtfTNBzAJYo
qLJx2/t2nH9tJntoNq5omq/CjLuTskUM+L2b8yDCgeqc4tbmpBOTCnc2jxGbXfEpZ1tyGicr+16k
wn8ucGB9KSwxXY10brduK5sjRsblieK7Xeg5bSaeMzfltRfHgnUrk6MehM53p9Cb4aWu9Ft7tvuX
ZgyMbFd6GY1QismNd6zdOmuivsvmgV7TSlKI9KfcighbNuuNZ2S5e122vf0CEG6AZl/yHTZ5CeQx
Kvi9EeUvxkS6tO4RrrztbwfSHqDjG7y+T1XbDH+17NrSqGiFMJ958U5kChjBNF4YQ+GRRpsbF5l0
7UetG9hb61gQJbkY7SfXnfMXNQYtrwd2nvtGxaihmtgVV7Tuust2gbq06RKWNFdzr9qXwh5g6vWU
GYG3jeX8fRgWnhUeSvZpqqWK+TrStcJenY/jrs5HAQxdJkimsnllMe+74w8HCWm8r/x0uHQW9m8b
g+XIsC1jabg7Q1Zofsmcc5+Gviy/+u04R0UvemAVQBVu1ORbD3TXghBVEGu4jTdMaXmYWFQRiGDW
026WKTh9OYcsPbu1N5obkU6WEalYK/Ewebo43dsRhwGKFAZR5KRVmjvFuE9Gj1ZKBd+wYJEG7YVt
7BiBvMls1tSijtcvda/qAqepNeHvH/u4YEoLvQa/YGeRBrEcoEPltUPgiIC9WVgyE99KZKMG5Hkj
mPN4T8OsmM3rIm28JozYbc847RWQtV5FPi9cd9mm9K+CEoAYb3lSGMYlrgqijwEpEQmh2IC1twQl
o0wEaJFAb993ilCiL0lSOE2ynXhUaKPgxhF1txln2RDil7BWq48qVUCQesgCo7tL0T9V5C5Iem0P
AGrovRxahFJDve0WxzDz21y1BffB+b/sncly3MiWpl+lrfe4hnlos9pEIEbOIYoSuYFRoogZcMAx
uOPp+wN1b3VKeSvTqte11EBGAHC4n/OffzCgS40FTGZmAFhM9Vz+j9ogD4f7KItGx5HIFGHWTJmy
Tz/BWkOsAwfcI1do1LYSJa6Qgq6je/gC6xyE93Ah8dRNTOUf4FUvvG+dJaP8eRRztoYPhwBdBp1t
Usw+RwTb8fA0ZgAK4fVAQaluzQINv7v6DoxdeViYbvG0OPKKtvjmEAk91bFXDaNurpyRy8OTp4Vl
IbeQXvCe+uQMnsj9nQ9RFc81cxw73cJDwlGR3+m4abcXAk28DU2PwByvSm9syFyU7iJix9RRThEV
uod8CGqtBSjsBJKab6FUjdXs7tJGuXm1Q+aOeQfYQdOG1wulX7hLjIoUm80wIYseN5bbReie9eK4
B+Z+9ZMIx+qzAbtmQEyJ+IxoGd6dHWyT+s3E3nxhSmNmfblrfexZ46mHp4JLn90xfFz8kawoWPZY
/KXTvQc79ggOnF+3ZuJsS9sfbwpLayyMnHo4DVPEIBjF2KciUnNw6ijhgo3ToKLFY2Uum0M/mLAY
VShQhEKhLt8EwTUEifUIS0lhC90xHpxFX3DcmxUFglHtqEDpEJNCeN6h992hjpM6VN9wo1RabKx0
7qxLWOalF89503zvTQbYG1lMtAbNYhBna/aFle0oJ3p5HDEMm95SQ62ICxW13WyXMkv36LSmxNhj
7xZCzrE7POcS7KywN8f66WiR7/lMWKlrSXwW7bTdAijmHh1qoOVtjS8PNr2mNw5foT6Qf77pRVJn
WzgdHWHio2XDKwLcuk3pvAkz6KjDbxQDNyLunDLYYZxXnQ3sRaCyj4TsinC6FTXUDVuPMsZ7J2Ik
ZQzZAd0CDyZQqbFxFCE7nai6YjsCmH1bICywNpLoYTQwKsNfQex9S6h7zD9UjBliGO0I4p5/GJCX
AA8LkV4bbMPyheZyzh7Qjvdr1eXY+ZEKxj/3buDl39giSfp1SEi9tLOT3ECTTN/S3uLOh/OioKsl
I8jIQmgKxi/m/DlU3ng/91XGJSBjW9MA6pbddLWQJN8nuljAh0EcFe18sgAt8niGG/NldlbHD6+U
7hELjWLbzb33iTSqdj/YjfnV76W1iQJ4iFlfLTD05aI3SI70LZpKO4/tUU6IuqoGgnyUT9F0SrGf
ZZtvMEfYpMms+LrkL0GNoBveiibQBMJ7EXNW00FYiLOOg5SZyicBhRlEkBA6nMqOogC7tBtnFON1
ivFrGJteKoI9RAjxOCvMBfZ6aLhK2ADBi9tn+FDWFODYpq4VryRarNlQU2OYjJ9MBB2lRCUdc6AX
MK+AS+6XGgRgs/hC+LtygmAXO2ad7xailEEoPOh00EZqEU+OeJ8lsV12ItV2Hjz9HLBbTFdqaHoR
Y3gZXqTXDyMf53kdDUEOClTb7Y1TJfZVmFVlAE2ImNFNbyXRlWFk9jfsJ8uzMoS8h6tXbOGA2a+o
YsaGOUMQ6S1+CkW/DXB+0PE460Juqj4ckt2Y5WHF/ts71VVh2drbD/7sPRlYoapbkKvSAQxoa02k
SW09Y+CI204NEeO2hWFi7gJM1GgKIhtVQ5eY3mpTWGSPhDX385Zzk6qO+hzbgL4L1/vm383ODAzt
2G1yG1a187WDZZFuiAp/dmTdfu0HrIazvAF7HHhtwggvPzeq+ufUmM2U2koZW4PK46YfkfdIcJeX
Jh2NU1/wUsd9XgZ3wzi058Hr0Hr0AUnB2MIdjcQMn0CM84BlkPrfhI0XrnJNeZl6jbmsbAcbF54Q
PxDdmDXUmQaIJ5AyPEoHPX68RNhfbuo8UofGs6fqglo2j3vArbhnqbvbzvHGHeWLdYWfZQY3cLbI
3MKwJUoGayPkaCKdJL2kDqvkHVqxGbueO3wOKfcPlptY33AtLL+a/AhOm4obB+X/K5qb8EYx5D+I
aeCtC8dXCMrDvRhNjbXD0JoW78FyT/4OfgC95dYHzgM8GcdQOnEYQE7hp6/nzu6/FIAdcYizyW3X
5g2uGpnVPhlh5X4qMgfnXhdU/yREQ4riBqZl6Tjf9Qj63+9KAR7Uf+OAKuspZgaeYENAR0sM4aV3
Zet6d0ORdezykuRAuEl9h/4ZkoDSuDoxa2Dg2BLcA5VGH8i2WclTTmuqITuZY1YXywkitx4+J7ma
ve9e47blsWjDenC3idubgxGHk+cSv8yLDZuFmRb8iAJ3Ld+MId5ZC2VjaGI80Zd+b6rTqBUo5sa3
lbd33WYOX4g7GthUOlFWRNXMgZeZJLxMDTyF2NB+mkJoceFYQUemjIdVpdFC89JAY3fxm50y0f4w
O0MHMmYoDVFvJwUGXMSzLHlawhYiVGklkbMGsS88pLi0mt3D5IQDLUzuKL/vn1pMRqciZhAb0vch
GcpVcYtXiSSHRM744Vs7UzjYQnwbsTmy9IbfQoIUoYMuJdlmERk7wzFBJlnge2SQVVShJ0nNCB82
DJiD7stopIvtkTEVlvwbXPjAV1fGIGmYrwotk8rfKiI7gmn/N+O5XwUiDP8QUEdoZRlyQtOD+PDr
cK4x6TkKJaLvZoGK5J9Tb9svPcZPPYE1sD3ncMJx2qzd3sbbuK8QIm0q5ihyOziYsn4uPgZdf/29
fp0u87XwjPeRqxKxw/CQWdGvXyv3NNIkzGzfylas2qb6J/GjLqOKhWi0jMv+ZlD5K/tk/UTfMrkb
q3aYke9qMfBHTgagYTiY6CV+kDO5fuL0k1XjeE3PaF4GmTtCgptMZSD5yAuGlT8fxf+4OfyNmyPa
/ZCH8Z+ylz8FY9y8QsN7bd5+sXL4+UP/MnL0/gEzgOgdUv5MhNYmq/ifuRhB9A8X9aQDqQfHxg/T
hn/6ODoR7o8MWglTQdOxTqf/08/BCT7CnS3EHvhTwdVx/jt+Dusr9If5Nx8P1wUWChpw5P/+7ysL
KRkpRVmJRUhqecsmmdzmOlWp/lxboBYp5cXf6VT+/IEBYR6mhzzXQbPy28tDewYhffH1UamiZ3I1
TVuf4d3hDw/h32iPfiUxeetlEYJhr9uo71r272EVg0ckesdee8QICyWCrbqHsu2nbb66tEBwqTaW
7OfY7QrjIuESfv7rj0ft9afLhDa+GgywffFtfo/uHUcd5pMOhmML1xFoCV7PHnDFPKIUDK8V1gdn
VaheAisHTFZF4iSSniA3QDpMx/vUhnCdQEVCfSPJGBCb1GK+GDLiwvyp5P+CT0MEdrDpoT0GR8U4
CxtL+LGEI7x3gy4vDqmVIH7hcoSdA6YQ+N259r3uK1mPEFanmmwRkVqUe4wqgCmQHi5HE7ncIyW+
uO3n0nq0qRjuB2dMzrMvxWuIeRp4QDvp90xyRSTsTk/V2OiDBDomuhJZU5/k+BfN9E3XGdm3L5Bs
xTOhdvzgrEiLkp2y6Sz95BJNQQ1/XwpsnrlV7OOY7/CzSei6zsEGbWQSHEh7Fyy5/YibN1MHxPl3
Xrc01y1EQg6jFBCRlLz+oQWeoN4L8NsqhiCkT8kWhC8qPyZmPcdOkvfnkrbtQdZDcl7GQB38zqpO
3bDwdZxheirMenrCftz/xNOxd6i5mNPbJBOOvuq+63bmfQgs1tDc6M/ZkLTPo4mLB6d/Yx79OeId
mvvk7GCtfe1bRn7sGPO9z0QpfzYxI/+M14L84rcMTRLiP04dJJJHuN7yS4FRyTUku+i6rqlO6Hw6
t9hAIsB7zh+XlW2JU6IUZFcy7rKZLNnlRfgkCTJR8LeF3faY4vHHtMRNYJsWNrAX/atEnjF23wFs
9OcQdcLBz8fqxABY3OoAj2A1FnhSSyCbZgcHpToJ6iwMDL2SSbqhDoaVlJd0xhTCD7PuFt6gB/M8
nX6gL1jdBoZyX1emyaZhtS+56qanJGqXGzpafpWT6QMeDuHGUlxxxFDoNinXl93ovDtGmNPWjbgW
vC9R/kR4G05lyVKcsmb6YZU585bcdu9SzvUdkgYQCSCCmOgIF64LJh7vOJqL16AipEsR6kXKnzLy
Jm6zBIDXTLrvmD8sN82c6c/2TNIdUEgZVxhA7o2yGd7gzpDg6JJ9mKXVsrcM7i15LOaxIJ1697FE
q0ZNP2giyv1SarIFuoUn4fqtPrgW679n3PdcpUFyrmT5PBtyPGdkpWGL+m6OkQlUaQAdQ3Ov7VMm
vRfTZuRr0ws/pTZrE18xQodtk7RBBEUvyMWmH4MbiFtReCxKZU9blfGgsJcc9knnksaGX9tdhN3b
3Uhs2mODL+Xz6PntizG4rNaghBFgJ+2LU3sar1nD+6RCHTJMKkLqumZuX9H+yGabw2feRLhBxx8X
h+95dZKtNC5gJc0QK9i+N3Oo5RchjfKiccYKN1PK/bHIXjhDWKy3/mzmZMLaOB8qGE4HD3LYd4FO
hMdUo8Ii9STsvlp5SV4X/ojOzgemuh18Ow1tMjsjq/SfJ5Kuh+85Q9TnHEfPEqDWWRpkrMNiNDsq
whmnP7wbvfOcOqN7cVYzwG61BbRCjdjfH7NmA9+mjzvmonvWIWzDAWEjWLIa2JrG5nZsIxseAVZe
rlHeDxCfH5i8XQxvhKIj6n2YBd7D0nvsnYFybnsv/ZR4yW0NohGbAS8RSdXZqbbLz9JzMUKsErwR
Xf0tD7Enc6fxrczs+mQ0KR0NRoqIHEhAsEZx3dbTTDQI3ZZM0uEN+KDbpbmkE8eWsZp764yyIYot
XOuQ53hpnK5GjviN6BsjEpMGPErOqD/OBOF2cV519FUiSrqTa5sVwc6KvtBkss18Ej17XVXvqViG
EElNExygsOht5DYXvVpOErcSXRVZKm6Yl817P+OF7Yrauso1uX+Y+qWnZbWwBLrAzHK1tUStq7di
cEJc/qknhRPyWjZWcchwF9jCETOvZtRxxzG1PgFqRnvfxUaTFGAcNW3u/Xd6GHw2vS4C/6yX1X8z
rQbsMgUup75FY73adI7ErZKjgXVnOkcWI4rIh42yWntqPD6dFpVn+uH7yQEeMv5azUBtNUCn8rvL
yvvcWEMpwc9H7EOxGiwwglYvoTcx93RKddUwrYIyhPMokAYmpD6ipQPAD9ZLARrYGFOjbBtMrkOF
6HQPVGfhHnNcjE3Fh8mpZhPJcAcE/9oI3qsbd3VEnVdvVAxH7ZOtBIaMWcZbJUm/IR+6WfmuerC8
s/B79XmZnWLb4+e2DWVznKvYmYz2bPX+8spc3jsRk7I80sK26RYM+qiQlZ2YFut7+DBLPGFTeC5r
4W59uyL+ZrWAJZsHvz+XQIVgNYhtP7xi037GWlCE+85gbG1EkIvm1VcW/XDxNfAJ9aSFnffu6j87
Ao3vu6xCFZHWD5VlcJaDyJ1yWknixKcpTo00eqrC1DpUOSveX71uwwlhRjQn7k0L1wTG32xcagDa
W0RO+ow3z0TD6EWZu+t83DFBsW8zXLqvIzWQN+DOwJ0b+INeXLtZeSPkYp1EBr9mm2d+f1UtifMM
yQP8N/AYhDLEreRVptMy3BZWYf4QdV1XsRuQIBCbhTmdFkQiW1Eb/QGOgfc8V2Oexwtp0tCiUvm9
diAG3ljSnRYSXxor9Z6jyUTDjC1EvoElInGfJbNzH2Te9K0tcFQdkGFRF4juQamhin38VtpdSPD6
laGqCuxZB0XA8qsxS3Wm/jrqACdQYZAIgNmGlx8V8R1yW+Std6fhLR6XrBHfbEEsPFCtLtdnYwI4
UyIVhcM5VFnLsfBkc02sucfmLIa3EE6G2KbzGgdvlpIDR7ALvzdVhW+JNpKLKIP1HSgpE4IEQ8I4
9UYKoiyvt10mvLslz42L0QrB5eZOth8BvMOYiAskPhR5Wez6SnwDU17EDkfdjkwUTmdEZt35Z/HF
yIncAkvLN2QmRRjbCC6ok+sELTnmLfaOMhQBArNeCYOy6wAaJ7eMCcvEbCTwm+sK2OoI9kX6QAvg
NfTknQDq2RDnMk9yuKMCMi4NYRpPOXLHO/SJZdx4vrhNl49vEXVfHYPR5CbpunVTXmr9PhTUJHkU
UJ5EXWfdsw02b47w2yk2UobLkjLx7KdsRJu65+toKfQhg8f1lOUmz87qjLABIOj1AfMHfWVOBdc/
TnPMMFgfWoqtZyEJE0fqR/nLYA3UVFUnm+kzAK9rPWIlo99DLfIDzsgtA0aUwVY+EyKsvTVkAV+X
6lTaUffw103Eb84/axOzSj0Cm34J0w92oF+7/t6OyjZF4XdMDbs7J2j+1nI4aMgC7PoHmHyU94ym
4okH8yL1qiOeG272OHh/19BYa1v2a5/485s4gWfxdX4XRoytAypXdMPRhSyN0TNTiLsAqgX5nHNy
hrKKADHizg6pqe6DtMVVRHrOcRnalzRpWJhA4GfpTPoKumb3dRxRk0y5rT7PVNw/wYrv6v+kP9p/
0/xZvzoh/LxxIQ6FDqkFIEi/f1l8z8oAArQ8Gjlj8gmz009a8KIhIMzujJFVx1HEArMmVnw5kO1u
ck6dy0a1r4Wgbg6wJPqZh/FffqmPlvPXO4ig9cOrJqRx/1PjmzIwtJmQkQqDZ6GzhZOexJKk7utl
NqZDD58oZmtedtpxOHgSINKvBSPWAz5tvKbuVF6K2V1zvf0Fk3KvfRN5FTyEfiogXXTLyhNbh/wD
uWh/vQ69f7MQkd6EgBer7aQf/J6pjG7bEZWe8SfpONM0TtzFrqsjvW+1YnfKmzmOIDS8T7aejpB1
yC2z7NewEF+IAiLvBhbUzsCbnGl93d4wPXSfJxDhm3xxyivTrJ0X2y0zdYP/SzNd9VkWnvDaKWPT
zZd9rnihGdAXGJrm3p2J6f+uZ8h0UVUdXVNALvtGYTdFVM8MQjzCWlp3GNsdjcuU9v4nA2rQex0i
H97YjesyGJPssaitqHtnjJLGkQ0sS1pqdppl+hJm2qg8GW410BBqduKPWl1hJf7QVN26p0Rr2V5S
0Ee1JzeumfsMnEqxs1UibkvHCq+LsaMGhYC5hV00PaWLgUE1ib3VS++MpX+GkhFM110yp9yknJAZ
Q8lBkT9QZuZ2FE5SGUfHKUaYS549GNKNuaDGfsLgxNrIzhHlKfCXKj2VlDRxsqx/sQpLk9iU8L+3
SY6t2AQxKbSvsMGTb0G1hki4MzV9b2YFDPdkTd9Mm6jdKTbhbFMpSnlklSaB6hT5tNPmke6bLTZ0
5RezoNW0QfG30jNaQE/8tW9gzWFKn7nimy7GEsX/kB/GierKLGdW5DLQUDDlGJ+GvHoJevrHRVni
OcRDnCGHzqFKrvcuKucwPy+ESW05dIwLAgnnZHFwPJTOlB+SMmPTC72hOg1e2L6iVmhfXQ1LZLAr
G34Z3jVk1YX9PZ1oeK076PbjTNPvV438gspVflGoRU9MBtqXYYUfmiyqtlk9YGbsLhUEA13NIySV
tD71sqBraYI1NjkPHmqnH59MJMU7zIPbVw9CzcF06bCERfcc983CCTCQOvfFLgCUuq4St0NAVuom
cdlN8OoIY+B6OqPEdYcAL/GFd0SaY4PVvcU/4obcfW8bhL7I1quNpDvEZtBdjk3GmQgvF1TOnjly
VLQeoetYY+9pzK6r2u6+znjGX1szMAvOHtF1iv3xOddBc+2n3LieA/TQmLa3JZ5legpJa0WJSe50
uCJAIPbiti7BhxDAgBBgZfMe8pYumD8u4rn06/tJBYL5zEC7zVTzzmqg09Vzhpm5yy9tjLVwXr+1
ciNArDBvWRhttT4DZ65O1vqqqnV/N8tyhp/NMeV1atyrHvtibLVmezdOOcjI2rzmyqSBz5TbPZgk
oMF0Yrbw9nEWiyYlHhesR5PJELJUKXrBdRyfW7WCEm0V6Ksl9fUNE43w+mMZ2goIhuXdmUc1GvrG
TUE8HKm7hw/Ep3FYPshjKkiNICddTRdcYXGBSysFFdK38HpMfG/7AQ8YqcFtcDs6WwBHbv0K5C15
qPelABCas+y9h4d7g58AtQZZYxQjswILCxnnM31R5QVmtGKun5URfQol2dgG6r4bJ8C5BjL/Bl1K
dVILV7RK2gFxFl7BNpqB4AhBBP4rTWSxo9HuMNwAzgC4m3f4Z7G/qNq7s7F5/kTBY8JrwFD/y1D0
IIKLW3ZYn7sAZd4wd99TmM47iWPjZ8wrwW1Q+J8Qcax9o8u2RkefELMCUmOglCCFImh6eOc5v6m2
AXu6hS3Osfj4D/zm45BUJdht02buyTCNH7iVruUy8iOYvDXFUifNcv9zaeZAl8IFGiKvLLkgs2yu
RQvNDQF9eB0OsvuKv/sCkSIFUxvXWhmjuexucum0tqk5sLkbtnxrq6h9ISA8JHeni67ngH22nTNu
YeZ1/Xdo3DyQshytnaR92kmf8nwoeKfX9dz16zYsk1ZeVRJtOhT3gJq37PlxDlF8whwKvmxFvalL
1lOABu3FClkS7jLKt7FL2tfMStI76M/ARni+4NTu0gCwE21Q1pQEpXKJH+VtGIGQpmVTXup5AkVi
Yhj7CEEfP84GawACHolquQvY8sGdAFEnw0NjmxrQRqI5CmEsU4Z0urQf515P26h2wc9aKmGXdnib
+YX1KKCsb/KRB4ljX3XSldlcL87YXMMXrk71+gwyysNnKede7PulpTifLXYzlBhPeqZMFiX4nNlW
9qNRN2y27GNfWxmK5wwTqTP4BYk0KySIJYl7Cm2RnNMGxnWhKD8lu4lgaCjLfYo8et+1iuKEQRQp
iOw/g+OAgra4Y221ObUvlW0AUOO99+TkCa3CQOHs+KSe2YDLOw57Fs/HNqsC7gbIkb7qWzf9QlcP
mwTi8NpPSAUK1Tvqvge0+SwCqnZcQ4AsJjlxM5nXHrKJ9wixKaeWPwl6PIe1RtTeRWH/9GIjKsth
gHvdeYa8+xqsW6WD9HvX45Z8RwQRI0Q/J9Ear6edg8cObReQCe9kDzrdEHd9E+CI+eh0wfgjwD3j
MPDVNw0FnoMZJU2IqFrxTdY9JUcnl+pUEGuzQUWU3dlB8zJNHndtNe48wffnVZlK7gE6KLqhae6+
UpUU7mZUGhZOZbYRdcvo5bezYbLJYp85PcFbpoLUE7ZKIw9c42B6A9MquXz88ePFJISVI8awxv67
B7ntQr6Fe2qgWd8rfIj20A/zQzu3vNA5VWXK6BqZF7ZPd64IFsbCXr7cCH+hI0MNvFeyfB/dpYXv
LGlgP4DiQIoX16YzndcqAEY6LRn8h/EAkMAVzyekgPNxDN3npU+zeFknMQOAyg6uNh9WooU4Q6Fs
f85K/2dU+XejStw4mUL916PK2x/z/3pGh/HLqPLnD/1rVGn9g7ESitjQtWjx4HH8cVQZMNBCjEZa
C04IPhO3f2XOMeBEl4han92L43c1nkP4OmT/8b9dkwEnTvWRReuwcqW8/86s8te5O8cAzmJU3aSc
4DiLH8JvKmtrApgxyX45QXbGUKVsUu/O6Wdxu1Rz+DdNz+9z0fWzUMGb3IvIRUL+25hykkSL427R
nAJ4RbfLpK1bivHoSXMHrkGco90fHsW/6Vl/76/5PNd0MQhlzG//2Yy6N/DbF6HJ59UQrDeES1BD
FIp0+EG5zgkfYt/ZOSq0HmefYdhff/iv9IKPG0udhF19yNNb3cl/BRo6w5SqxXHntBBg8lZXNcKc
CirbtbYWdVHJEpGoav7dJf+bWwyWwITUx6UeJ7Df4I1BUqTMYUDJzaz5ngyZ4Q0uB/mcUd6r+9TU
/+0P9C0WKR/H6mWG+ruTcrHKbG10yscMRPgqIBI61tkQQZ1yjBeMs/znv76tv1spQB3wTDAIWIJ4
SkR26P56X7W0zCVNVtFrq7pyM/oJSb3L0tF3hTPGtVuYlxZ0tcZdPSasSzd5zRPh3cHM4V4uzaqK
Cy6Dtm3C1TAmQs0nMqB2Famv2g7/ZhVgHPMbyMP3xciZd58xQsTL/tv3bWqmAUU9jEcvAPmiHrC9
5EqmlYnXVwvQhHjdms8IAjWxZnKNJuYd1BdA5/6Iet73z7nEFLdGNPCaoi/1CehaPfax4sZLF1Xn
LQrmOjtPJpj27iPmuLYRVyDy8MizHm3JAW/0OeJibS/hXnjKuoVsZ/S7MTDbK9Ih1MUafHWfkNBe
bZZ+ar1vIcRHHftYUk2EKXck+vaOp+59dgk/xq+ijI7AxsYXhp0Rxh4r4fnUJwX2sxDxtJG2G6Y8
lvWDVUoiFdBeXqibgemk+6AaPV83ZkYGt+/Bx5wi1yXGed0Ies3MaqMmqe7JeFL3UdkhwVRJx1Su
sAVnnumcfOy2CB+eGBWGtTPdm1LieB5RSOdQpgr4tlbvvSKuUxfCYCx7U0+JeHayQV2MzrAevQGI
l+Bq0qbBDppToyP17MMpHLfQHlrJnfXUZXR7rlSULpZmleQDUeInTzaKApLow9l7rUbuI9AG940I
yMcx4qGRXhs9zd3ivfoEOl8ApqIdikWPdMo2H8JtpIhc3khM1C4/12pWMIfbZk7OYC4vCRSripYO
y/W4WHAfIQ9ynoifNpAVZ+coSPL6hIlTR+CUD1Fi3DGmzL5Q7kRPISMuRj5MCtWu1i7rZGp89/Vn
1ZnCSE5Bl64j3UeE5wL9MPzNWRmqJOPMRdt41UNTxBpQtOoepgWN3UTpnUPEZyYKrwRixM886QlD
+nSDetBBh1DQVyAV51pnmJ+bMG3748f9d9Xgoc4LXfQJAcTj0MjktsP2/fbj/0Bgbra1Ngv2jSU7
GlzrQxYMUzynUbRHG8UCztbXw8dxURzRKCfJFcRlU1CSzvg1dCqMLg6mHj1G1dC7IOBWoVncDkhA
hbcJaxzePgm/MRmUJK1Kpj1iI71JHIMfIK3eMk+zNQSTwtHPII9coqQ0DhrqDoBDamhmA6Lxqk2G
6kxsmgz35Gsba6dnOsn5bUIESUtUyCW/n7Vhz18ktz8j67qZDtLOGrRSZtluDKwm0LZhtITNrcd9
lo/AUBkGdxowowHtY8DHqKFTJzz33D1CBecWOGbcTtN8TCKtroa0VY8+xoTbTCTwmSk0SQAn8x2G
mvUVPkUXC7xpN4NW1h2xTMNlzjqZboZk8l4GfNRc1pec6X6JrbqaaCOPbtim9QYtRQv43RLc1I8k
n0m2TR/S7ZloVv9WmA3Broh+NVPIueaBKwOm/IKSk0Z5Gd6iHBZpjK4vzWMWN+PgBBvfGM0Qph5W
ECRPTiPRoFiG+3nIUoMgr+61sRCpFkzq3GM3O2zZVgAqt0EUwpLSpSffMos/UDSP6sIxx1q2kybL
j77BeH5eaJO1HMSzZw3RU60z1CxBGhJI5k2TuiwqS54UIqFb4YKIablSK7GKflVtmD4VzPWvarrj
xwJRzBfi5XixIu1hOG7CA80DxzmFIkKRFjEOiTlG20cfkvSSA+xJLiPdW04demcPLmT0ZZHCeql7
w1hOC1TB8ORAXnbmrSWkIjIOq+QzE3rn25JOnr9DLHT+f0Je8LDshGviY5Bl3f+PmBev3uATbi9l
gNpwPnnOaEyxM3fWL6rexm7uFGq9kT7Zfvpd3utqu0N0WMFj+invbQLD/YYGmv8vOLH6z3i62sm3
KJxzUioxq2r3S9jm1cZOy9GF5V8a13WVj9y6OhGbBQuXr0Bn7TF3m/AuyBwzLnirDgEAWrllhief
WxVSiwgQx2tnzo1taU08Vixh+11ewczeIaJN+9s+lPpEZnh4i4sKxwKiSLi/lU+geQXq4CWYAG9K
f2HRdCMrRTKRi/EOW5fSSCcdp1lr3ZKywF7a+ZjhbYqI3zOhtz34A5ienHk02wprc4QDY8F3CkJs
M3Ph8hdZ2bAElZNCOaoEPjCpXbLf91N/1NnEPjh5qZQHPB3g4IiK3A58UKpNwWECeSwI1T0Uat4l
b+6qQ6A5x9ueD3aSxX1ddMGG/7EFBtmINg3ruXXpg1Rl91CW0C2gm3LJpRvNA8agTCd7kOq3xkHY
u7GcnpPfXjoPlg7no4SyCvbg5RWh42ACWVxhJkHFoGlRDj+/lkX0S3XosoJKIjEMjq8A94yrrur7
I/lnMNEYGT3W6DR21lKRd2/Ptt9gwkDitLrB/5P+2+yj9nm2O0Gv7U1867wWXOs8LXxk0wOOXlxE
MWSmCh83zRp327QrmeOG5oRbbapc/zyW6P23qBf1p8RovWc/s9hYNZnV17PoyZX794Jul3R6yb4Y
WJ+q1jDPYsyM96HvImT0c6Q2fGeqnNwIoidbzSyLsOo5ybtoAEvoO46ntF8H0z2K5YVvkq93FFI9
9iAePEbGAqHHgdmzVcFT4YkyTOYxjTUrrkJifYsrLl3DYC8msnRPilUSGjKjfLIMjSqA+0Rp+QmG
uDF+IgC38gVktizNwgtRrJHPUSWQdKPbSTud73WZG6mFgJlqOT0QI+LhK0K5ASTh7XKMFMptUtV5
DKAD3Okjp4ZqQg0S2Jl5LlG6kAw6QJczMoJ8MLyIFSyBc1Us4obH313akJ2lnDLjqzKi/GygW2ZW
l3H0aHJ4UxuKh1aBsa/G2eM6Oj9uSF1kBBqh4ZTJFkOohzRkS3f6FPDeTC10ExbiFaW6UwtcRQRC
ZV0Y+SQtAO9AeuDU5/jnUpEMfl2+41Tr7cOpTY7R0taIeroJhXIr5y27wnvTd+9Gpe8i5c4n1jWF
wdiZMLCEeefVeoonEyYUmDz4soebE4rTT8of9b7gEI2LjsQ9xZDTNQf3Rtlj88DT5lxuVHXm5KsP
MKUMNFvOsA1rf5dG1c1YAq873Ko7U4v0szD88blvbee2neqi3TKPoYBU3aEiLzz2JxQ51oXKjzk8
GpZ3z4cr5aDDynPg2qhA5dugy0nCo1EsPzy4GdktM7GUiCcPKw+c5EyIIFQEk9ganMASLsC07iCZ
yQ7BecVuOBQtQaa2ccIloINBVFYs0jpjt8n9nhW5kC+doMeoMnmvS9KzthNld/zXbdTadfxxcAoL
OqDh8AAWVk7t723/go8NMK0jjsL7KPondB6bfi18//pz/tT98EHwI8EyaPvxIFv71T8YH2KBQx5n
O4jj/2XvzJbbVtYs/SoVfY8dmIeIqrrgCJKaaFGSrRuEZMuY58T49P1BtXeXRLLE9unbvjiO8Nmy
kgATicz/X+tbSWayGDcWpeGyriTULUC5dgROc3R5Xw6/Hvfk6D9dIPI0uHHolTkpfh6XI3miRXlf
uH2UmC9CIpaAIiei4Y7Wb7XM02z4ZpokpM7Ldtrlfj36sVKawWEdcirmAedDHHsshjqieoLz3oX5
zgEE/oR6IG4r30VWzWov/II/5aLiWDLtvGlws7i/f4T/X7G7ULEjLVqnhvU/V+yuX8Ls7WO57u9/
8SEmUjOpxWm4X2yqbMycf5wFyl9o+i1MO4oCLHAq5P1TrbP+QmFuUeTjhA/39YOzQNf+kikKUAqS
CeygDPVHSZEn1TpUIhplBKpKUwrh8bQeHE3XxCCNbu4tKeUYA3z32w9340zR7HQIWtmGYZNtyUc2
lKMnx+uaRPIJgnbbCY8w2jSuSaI2uaX/557/C6NMn+LDulB5To8pb5J3Z8+19Jz3bxwX/9+GOFp6
rDDXs7xliGbcW/J+CBfl+Pr1ECfVNpugLhKT8FMB96SK+/kqeNurGTiAyu10u5y1kuPPwyLfEw++
NgL8fV+PdvLNvI/2XvaFXHNiK7F6gzN1brELzScAU80fYcoJKfGLZPHnQykqtFKQfRSmjwNJ5ZrA
F5q9XBjW2kMf6UQfRa1yLQtwNF8PdfqGUKcQ1clWQlX7RAQFIkEeEhqgLor55grgUeyaFVGAXj/2
E2wlXeetP/zp3OBWqoqmaLhljIlO+/mLM0KWZXBdtTvE3EX6djgQK4LiPYk/vr6+03cBQ3EUw28G
ApdXwuehiMCALwMix+W4qtFwJxrDlUo7Qt1GZnGCfP6uILOA7e8YXDfoRS6MPz2vn9/0jA/ol5eg
PS1NR8/z4OtFIMdIpOxU6qcgdx3Df/fw9UWevm6pr2MpnBoWLJHHZWde5TA8MBa7Aovn2oI7j0yA
o/1NosqjOw5qj2vY6Zd5RUL110Mr/7WJ+HyJNBOwg6kqq/NUbP18i+tEKuBglpVLimL1M6fnQjDz
JISwJgOJQdoClaLU25LKg5UEnQitN417EUFcG/q2W4cFnk81GDVlHo51tKiEtQe51Bqgn/ruyqlg
hKGvlheaAFOntJ53H8pqE8wsDo+HIbb7GWLWCCpfa83tvHhOIWmhsayXSa5QqcbNDUwgQATkKET+
SFYAJoZUs7hs8pkZVmyEqibaBLhVd7I9mj8k2JMKzfchuMbKau6IURjmo0zrNKCQRE0obZgxk652
bOLmqnHS8SEU/DUoArzRVvnTVFNrS7lQW9qUqha1NbI7VusrHfLLAyVYfU/+kLKWGitZ5loVbfRU
pkXbKPoKXBDgg75Qrm05RnOoAUxgNWi/ada0xQa5f2XhmF/mdHVhGFKRvwalwzspYv3z8ybYe1Hb
/XREOuxb+uaQOjzAUVYbMV44vnWZ6X0PiqaCvIy0+gE6nqHhtVXeqmoSeBi1Ln5L2BKCObs38eio
5Jysek6W+7aV+UXTDcY7cJ0PyLhmqUhhjQ2GuUhJf7iCyaEJ8k58+PIo94s5ny+eOwY6oSaJpBtQ
/2/gqHR26aL5FY39gz6qb07mGD961fDnbOfD7wJg6kZG9BQTaMCMzjr9Ddll5cwCyruQp3h0Iywz
Per6EZyJzO9Lez4HbNR4wjjWjyEOZFCrpbVL7Sa4LsCXLjWjUrASwH3oEjXa+OgqFuSyVKsOpeCa
WNgRub5p+nPHI3vA7qmPzkeU41tj0FV3VDhb4kMy52UZiXWX2livjai9j/OxuReFxw9XTs3EsENj
T+ZZTuyIF2+Rweoz4C/NsnUcGHQOtxOxMbK2tCrUhcr+5UbAKYs2kWqmK+AWYBB7Qnc86Iee8k1v
PH8/TEkqBMzEACc6JIMqodVrsKQyhvjKe/VoMSKnonN9o3YOWFjkZVYz05WsmVG61W8BBKmLCd0/
hx+kb4eiKq9KyVK+KehtNqZTmHeepElrdC3anQVx86rTjUcvLcc9CWscH3ujleFrUM7ZlJVAjNaw
nQcjGnivogeG4RRdLjjpNdIaypz9W49i+zekNzGvpbrbVZbivAaog5eIRpH70baTl1ItHKrDznQ/
PMg6C1pzv3CFcyfrtk+WODxkxDPK4Kbs968SnwaO3McjuR62AppHMpS1jaBnbXR6990GZvKceUaw
l1MUUpRVAInpDZyl0ApborR1xf6pxLXYlmmT3jRa371UwH2us8Z3bntl1A6Jg8lwVte2hMZLMXbQ
5oY7rUXJ5ReVfReFVfYyBEa3r4YB0QEI3pu+Lk26V+gn6tIxdqCjsrVSGhB0BmHeF4OGHG4cRuqt
FKPnBpYpkmOVafFKVE/sq1G2EDVBg7Fm4KkMmjtavmo9Dr96aArEcUke3JdVG/0yUFK5pBbVy1hK
gTt7irHoTccAh0qjQgDqSxd1AdWDnZ2+bGSdJMjOHCNq6GVwGNXUo3rQJvxOw4MzEdHOmCPdGLd8
Wv+gKvm4HdB/7oxIHeaJgaNyjgVThsaVRs4GXJ2xyqPIxEfnOxujdoCUmH2+LGRfWlcBECQuABLX
3NZQx7FTh6A4VNVGquSEyyhRlnmBJy2BjHACxPPjzFvS1iE15Ow01Iy6Xcbb+LUrhWAZa2PU4Lq9
Big7zAWrwHMYOvhUKGi5Qo3aNwvOzQr3lbFDwZmtOyqj9oxo3uKljnPlVVgZavbECSFIOE3yONR9
d0tzPN6+/7iaIS5LQZ9uhh49LNoQq7vtxqi/rbFiLVubvMglc3jk7pKyqit+Ws3ehwxHulIzEy/G
vBlUh+pGIuRXSFf1k9WLetEaAT+qV5q0DEPke8jaIoKWfPWbnvXeD8hh+SM1iXQtnCZbG8boLcMR
5RpVcUp6IBDnct9QvM6bF5TLYmMjXgBsSTjKwvZiVFUowVg8q/bGESAh6I0Y0rJSnPDajPsWQp/w
ndkAa8fNJWdQZ3ZBp6hStZYjL/6PbVQrfTyzclM0CyThoyuygg8MP2p0nTA275W+lr+Luh33oV7z
1cHEDOdGAeTT6qYiwlg0DBvGaOTB+tYzpWrg4VmEIsKB6jpUv3z1tjYqV7mlVZsm0YJfjsJPx0lk
3qeVaew8JXfWvlnXC7VES8zTL9lrToTVBoxS/Ng5obPOstK8d0pTWho6nEBbiGztxw7kiullVzsK
3JoIwWGHnRAFX+sgLay1WeDRStUgb70oaZkss4IJbnp6vB2Z0XNYqWKZ6nL2FvEOxxAh14eaSvYj
E8m/MwPJB8/ROPfZ5HEy9dpZh1WRre1KM78LDoWCgAjVu0rQgA/zGmrnWiXG6w7b6LgfJbl9azNP
ekitwoP+KCIgIpL59/cUi977Pch8WMQP3UrWC+WGyrF08L2YRQYv4DZK1ElU3oc/wEvaUHDbfiXJ
jfGkNYP+1FaS/hQZxXDDm8pcBWUgQaMOpYVEfJlrefi5oKVW3/IAHJlaZTinYq2/eb/rwsAsQy/S
RlUpr+Qsy3nx1dHOqHJlVuZBPgFmkacyEVe9kcs7qwS6kzmRoPMttGWBmHTeV7LOQwwiBzTgkNx6
tuJvlDQYYlLVmMs0w8e9I+k01akS7EY77G9wZ3pQ4S0MYbpoSRsn/eoWbEi6MYfeBPjitWtiPSGH
2CEvQxl552M3lki/amy3Slk7+IccDRwGHViWQEX5FkjhaxUPIHeCctgg3stuyW4aFziVGkr5dTE8
ElxlGDNiLKPl2Az1ygILfAXIAvhabEW3FPOlVaOp8VZvUmMXgXS6U6xOWnpV0d+WdNBzUJmZWFtl
LkGHg8MaL1QFFzgc8oC4+D5pNw7Eqw4FdF1cdwKZ7TwjSvKAKiJbwZIDHBtmVr1DVCxuSx9pY9Xg
7PFxQ1wPnVJsS8/sVppKFRtDXiYdahneLGVT1LMGoKdZ0rJsyD6Cu5kwACmPNBsi4C6lNiuhsayF
kiWPcsN0gp/MttoJlVfZx2ypp2W9wKEmvxL7h8iiD3NtJum1tw2QyS5DxVC3xD2N+4rG8Nbs9GFp
i6Ha2IMKj1KjEwzXyTHpzBK2y0qX1dq4l82eZ17ScOhDCDP7gy7h9YZaHbRXAESjuceP3kUaTOhZ
PpaeS6gjTLeJkA54y1x36OSmK6It1aswkKCkA9oHIteE6b3ax5QEidokgimQ1hyyqWtrEEmeh2yY
0HFZea+1GlFHVO93vtfeNQW527lO6nYXSW92KayVomfftSZRZkk0eFdcBpY0GTsRdoG6Wtl21S1z
1NZrzwuBk7Evgb1rVM08KWVryQ4x2BZkQs1B4t1h6pwgWhDVSYb4WY/GLThKbUV/Y8LsK+UGj606
w8B/6HKA1pUt+S6r1ZobQZqhrGcLcrOrlRPb37EIATGJQGoSqYSNye58wEwaFBzZFhJAy0JfJlbB
9WbFBFtvwFmwYmdw0qCcZoFPDLOfLc0wAW6day3EvDEKnv2mNdy/qesNEhE8Hp+p69C4drScirss
i4vvFMjhYGLO/FFLRfOzaC3zns496VCJjceiaYdxq4ZOvNaToHGlACQVhpNSv9PtarzDJFHd4+WN
l23aWMO8R+q+MMkcW/ZW5c09vC2U78do1ZYxZTE5Cbd+pAwg+UT56qDX3ymOhG0qnnL2Fl3ua12x
shsQ47s6e2V7r/zoORdfK04j5HmlGvm+JW5IAtvXdHfeOOQbMQTOBEKtV8JueBTTFFps7EgBIKeK
b3HRe8arHuglutNgHG71CeGeGSJfNeFQ/TCBiMdYEwL1ZrAd8QNdlkU3J8yecEHK3qzMGu1Rnt6Q
ppIWcLztAPtj1uyCkOR3kJLiiZQrA0V02W0Tw293nTTEP3Fh07sBDTUxsIV311pF+iutLZmOgQKw
/L/B7kqs6lfEJFDmQKSuQUnKdM66td4sB6zuD1pmEVnlGQohx20bQHoe3uLWsr+ruQXHwBltsCV4
+o06iUBvgRhjjzfyKqR838waqUeFPVSsZFESuUDM4UdgeeLr5W27HThVABHQMNHCGfbrYlzUYXqQ
kvB7nwkqS6zy2H9o4SKI4FCsFE+VFmkL8HyUEWTdKhsAkI7AV2imhzxO8ysxJuqmIj+OTHKfnDaf
7MkY4CL+nhrCg8txyZTeBpE0yFMqY6M0pv0oJNhwnDvtNaeYDgNS6D0kmiSueCkmd2wVo5de0fKH
qEThXzRFb8HRJOsZSFMZxmtkUYCqACqoHKZEttc1pcvgdoT9c1yRaDxrwIJvW7V58zu7A+5oK1e9
Y0OtZGf7Mytkcw6XBCiVFN+MeUufqNakZC1iXLsdX9UV8IMO8UFZiBsqcv5NxGZoFulJVC9xN5TX
lW968xofzzee/18CCdWs4Z0GscJCXa15YgT6XTd3IIM5d/hJ8AgLheYtTvQlNABvX9OXfqUe9axH
dfesD/39iDxMX1kmhF8p6+DPQwFZi0LSYPQ2yT04GNAfaBSqb4ac1OncI+nbDBp5NbZtMzOY8a5k
5/o6CEzrCr/EwOJSNdYmSB3OppHqvxoD3o6MlXBmaJK/sv3eOnDU4X3iO+mzl1oyPC7nSachuJMJ
/FnzW/6G0euhjsPKrm5bqkuv/oiGBzGHDa8TvPa144zduq0wBWEcg5LvQ36hvsJN0TzryWoD/RC2
OaEVTcgDWzlACDP2VAO5mitDMtDRB+odZ5BHFuT4ti9Gc1uiHcLLI8xlkWTeS+7QMU7QgVCv04h7
RrOJfxbw90yt2N32Nbw/WILZt2ysfXa4EoXficZpD+neCyXzziplf2FGpnqjBK32W/GzDANOh9Wu
Cf0tupbmlojg4CoxYuNeLyKAfXOy5qTmR5SRhYi3ep2y3C7bQisWqMzlPagL0026opnnIs7XQ6sl
wFl9YsP6DMsinux1lTQHvxmxF4NP2mqTH1d01XPgZJYb+QFvLDaCWxZSyU0B+F6xlbO2nZ76NzU9
e/a/efa7EREGuEQUr1oZ4XOwBUbLmV8G8WsuR5G8U4rG28FIixZUS0D+YMk5NCpijTlZsoZzgyDB
V+c52Sn9TKvywliVGfVcbG2Vc5MNVXJAF4kDhnyYdRDW/qKghHUw1foNs3gzk0e2KlWpVVt57H5a
BqcGI1Hx7hgGh6SyHWajQoYphD8FS6ziSqoabXn+je9Waj6mPntj+tO+y64wWVDuIHojbBY5Are5
HPF+HTo09L35YnEE6aPxyqjkPXsosC8WZSKpsZWfqNm6HdnmcDZKMgbkOKtu4ca5LeSD34GpGXeG
LKn7und+lyDvH30evQekyFWASCAvw5lT9ZMXVUFikxn5Wnb6ZqmGJU1mMUEUMioAXxdCzxXSNdU0
kJnSvFGmLtjHlopj0FFFrIH+rouHZUE8s8+ZjiKURVROie2a1R9prrf8ethzPRBNp4WMMtdCPzD5
hj90crQad7cVMixJOMlWSdsHEilH1zc5VDsWhfyvhzvXBNFotsBrg+KJH/nzcD4gfQUnFcOhlT2U
arnm4NEvS8+SL7RbjmPkdJsmARgxFQ058QJUtj8PRRjK30VtjNndz/q9SD94za9eUKSX6kS5ppwl
r017lF+AM3CQ7SgDfn2556r3Grp8hOQabeCT7oGlibHz5crVLF/fG01OJdGnPPv1KOduKl/hVDqX
aXwed+n13tMbPaUH894OaSOPMijaQ5jGUXHh+zt3QTqWZ1vXqAg6UxP143SJe3jOA7QWt0MdtVC7
/Nm08+evL+fSGEfdndCAkcEiQdiIKq5Hs1rrdnqJIzB9+Z97DipdP6QNDlPRQGrw+TqIobK7ShWV
W/DevPYRU26JcaFI33bh94BwnWWZtfKtD9tiUaAyAZupXWrtnD56IHsMyrc8fw7HpqO+h24UjSbl
Tun6Cm5EkQtzDliqvCK3rNwgO7oU5Hh6XxkP7wZQO0NFmXn07JWTi30A7OKmWc/iaA57JKjWhWXs
dC5q9NANBZ0akMoTQIPjK2Ks4qQEWuQ387rIw3letFcWURUXpuKZkbiICRyAhwETzNE0ceowHIcB
vSJLG1hsqd5pg3Uoqujx6+l45mt6V/8rfFesXPq0cH9YIc0ijQlSJTYJtDkZKC9wXCHTA40qve3X
I6mnzUbt01BHzUbOx6aXmgzV4EBd6BkBNfhxoan2TtssQbCMD4NBY5pAVg/Ik05lUa5K74fJdnkJ
tA0UEJ2ntQpanuaARvEt1cd4a4Ad2Aqtl+AKQYDzEvageklETuNTqWZPJ5aJKiKxJX62v+lI+lpn
QFDg1lHtQMYWjhcuVD9GAb63MukpADHF70KI7Od7miSjpDlZwz2tA/HkkBhwg7fm22Ca4Us6Nta2
mRgzVeL9qPrYX1kxXse4NzemmYJOoCukwJedq81D6rEpE2QuZHn6DTrM9ehB+0nzuMTr2lHrCIFV
e1WkqdiJc7SDrWptpUhq5r2e6y59NVyGwlYh18QRSmzJuop1tAxR7HjznvV64fgdvkS/X+gsMA53
S4WK74y1/Gp5XXbhpXVmrrEuKSg4eGex3Tiaa17alrRhB+5LJNVEYDjahm+9d/2oivJZ72md+/WU
O+38QtIEvQEgBNkLeMjPX0SZY0zsIFC4ji30DbWedFn6lbgytUKsPdsXVwFln4MeOv7u65HPPL60
tUGAqmhxTsUXlT+0UtCYGUHfw/C9NTvluaTWfECOFb19PdSZi6S5zGrEOYv/HffQ6cmw1x2azE3b
iopsq9BAoApdL6QoqzZkToX2vKa5NxAPRMHw68HPXCf7Ks2kD4dEgh735ztsxX7DkTfLXCzW4brs
soPf+7SZo6H6420AYcw8TxYKIwLCjr1cnD9rP1eixAWi+jQMWKtVu8cllWjaH09TthsIphBGIcOQ
j+WHRZ0T8glHnJ4mbBHSDlxJi267zjBXHHp//ekNRHjIhamKrtDBOn5t+WFSZDqMEZeWvuZKhPdN
Ek3qyVMien3hHp4+gAzG1oatAQBa9ZgvhPFeCcwm5cok/RBo0hOhY7+iXjv4nXlhDzI9y5+3IAyF
Psfk0jCXGUePHkb+kBxCmsCAZJYadRqH4OyZlbTjbMzaLSWSS7vR8yM6bEWdSQB3bOCUsDHb+TRi
qbTb2CleyLtCZQ2nrcGUNgsa9c8ygNmC6zIbb3w87DoYcbrbH16dBvYWU3hW7EpNsx0SrCt6fAtK
/MIwpxubaRg0MrCn2X0ce/RaW+7DkF/ttpIqHSQL72DR80b8eh6eriKMoshsNmxVNtk3fr4YONKE
2UZK7FYap2lOmXNiXX9bmbmHAUUzzx7n2pBfWCXV0zclo7JwWIYBnvPE4Oulo3A49sWuYwxU4EAF
864r8Lb3Dh3CMaOBVg8OiWJSDi9obo0OdqdattaEh/mbhB7WCiDKYRyM8ptDMiNYRSB979uCMleN
HZIc88FRO9P1oZdf+PRnvxhEtMw4Bc/w8RdDOzRIqKomLpWxbBmR8LmVemosX38xpysstwhdJYAB
R52Y0Z+/mBQIiZn5eeKCIUhmed66cqwcbEtc2rWceWBhZ7G3ZR0CFXQ0AQw0yRkxYCxEfaHRRPeC
TW+SkfX11ZxbgTAqoke0OZSfSJ/HSCagsZFihAtQ+VqL11RvNGIJWO+1jfQ/30VzZkQmyiuDrE/A
159vni1CDJkBj+gQe7+me1eF5j6tvKevr+rcw2PztKNZR8h2IliHlZApY87DQ5SufRcPCuV9z/hF
oTdfVb5h/+ySItognqkvvKrOrXkoYicDL5LBk0MPZRs50CCFub6v3opMesEChz/qkYj1e5brC6Od
m/Ace1QmOyfLE7UgDEPka0Udu2C74jVkaWvfqdEl+ti7AP341cFNtFReR5ipjw/8zmQKA1cYu3bT
yY9hIOcrCcXxjDTQNqEvYHUPkWLnEHVEe1sOWXxjEIO+DjDcLsehIGLSj4qFUsJuBRNAL7gBLnPh
TXrq9Gbxx9ejTU8mToXjjU/l1bLRpSlvm16nRCnKF0U4+RxFS70JLfup6alOECZMATXTwse4Ix0Y
WPJzQDd5NAuxLboUugra3ZlJSBqWVa7j61l55lmjn8YWlBR3VJbHL8TE4jOEPdttOE9kKiliJRcI
ubyE3vnw8vVYZyai8q5vNCbFKrvuzw+aqgz48G3B1t5TfskUHDB+yS/1kGSu5WTREs2wuLDDOPPQ
KQrdAnY0vLFO9M1tlQw90dJcXmR8D0JMnCqKAWqo1ZQKM5QPZUUAIp3g1v3za1UUqphUpNggHq+U
ukRENiZArIRo00qTNBfiP/fIkid3nv842IZ/Ybad+ybZslEGUBVOv8e4Bp6VTtR6mbuS7JPoq7R0
RDNN7DEnpm5KUPmF8c68c7hA9lCA66jXHltEUkzjAWiv3O1bHwm3DudMLvOSGCLD+leGcmQHjAgb
Rvv4JVpYeijSjCOa4uTZnZGUBGVZwtyFjaJcWL7OzVHo/ExPnWXlRAfcIsfJRioDbp02hybI3wyj
PCRgkmahX+7JchN/fDhiAcN0oYJYQUd+/AAqPXV+tR4zd4TPjo2t+1Y1FWxX07ww0JmFmZI6uRJT
Ugg2jun7/LATLcYO9YnHETDxjSe/79f2WB6+nvSGdro/+DTGNEc/jOFIURzpEAldxMTKDM9Zsa2N
2vimArmYeUkHlMqXO/KZSZ4CPO0/5F1FzhvxXevGxmLbKQ1KrCykywQYbSlpirKEd5u4oSaq7ajr
wV51/H6eDa33w8PhvU5rhCGcboc5EjxvExiA60a57+8MBeLALKJ1+I0sY4QemQKPKk/rai23pedw
gOr9W5zc7A5zzHFZHFa3QW8Fa+Lehk1iIA9rtSC9bqWqde3YOYR5XM+5wxPfnrrpDFpx4SKMIimh
g57rERGHUDHuCCHQwnkXRs3q69t7bm7yFrcU5olGn+Jo/TTLmgQHk7mJRPGl7MULpqtbXZNWWpqT
5df9zUz6H+Gk555w9txs9ijfo4w/Gs8IhqzU/CFzRRlMNaebTo03ncgubF5PS346tVIU/uxNKNMd
h2LoPbGnVe9kRDLE+6IIyZbv7J9l/EADjJgL8jIN9dmvsgtHJu38uFRpuaMcro+P8E6RlmnRGdRE
8mH8HvRYI+2K7GdE9nKypF/PGac0Um8p4rZcJBkCJakhyNIs1XZjoDCG/SFtNLmRVorQyf1DlMaE
K9YYP+ieOdGrocBh73pkSFCa/QWOXpPaizUufMW7V/F1zu3RKGexiAB3i7HwlxGfB+ZX8YbeXLmL
7GRcF31XrnB08f+nI+hBADl4ri31kQywS1/FuW8cuyGYJ9pwfCHTLfvw/IZybaRZ3GauLF4GukuT
rXsdK6K9sKCfW4s+jHO8MWqLNk3AGGaubSTyHKZlM0+DYPn143LuhWiCmKavQL/NPObsyKUKs12v
Mpemkz0f4LZyGH/KYzJZg3q4YDo7Oxj1Ss4spIeebHvNisUoI2sb7Y+ZchId161erFCfoeMU4YXb
d24hgLdFBWOy7J1sfpNh0MwIBYdbRdVerS3Im97wlCfVmwgxbwXmhTupnJsXFqckDrB4qazjPg2k
iIT7yz4twtSLw0RVtvZYdRsS/PRFrkmBqxelmPeFo30LsWO7g4+g2if57dr27XgFIX54sLAjIA33
fIJDv/6mz348FkTKSNRv8fF8nrZd7xFKEbDN6criTXP8x0Bt7xMyUP+VccCgIbLHvXayOahbaQgK
tEDQXJKCao54yQYJsnBTXXiRntu2UpzCvcb5AeLq0XOoETlpeOi+XIFePaiR13XZvsqNbWQrt0le
HtLEuVCoODeBPwx5vGGNRj1BHySnLvmpa7/J3wCLI6wlzzNvL5w5tHPzlxMpTTK2j5yFj8oIorP1
YuytlGVGHZ5FQEJlSPB2CyN2TvnWn0tACuYpK/IyLCeds6RMqrAKwZEDxlSnqPLklTaprCpqaRw1
eBwCUd37o5MTe5ok89Sr7VVvdfajbbBqzuBBINaQ6p5IgKm0mau/5U5FSg+yuS/k5yhvbvAkQipn
ywcdCmbSoIXLJh3U+wLBJy97su6+nrXn7oIzOXUpcTBvjxuwpPfUdYY22h0LCCxiVGZC1p+MwthR
M30SITiPrwc89xVPrhAcgxbF1uPbXkSKP8CoS0ngdiQ0OQ3sz3dInkaQizerJz3s1yOeuUTe65Pb
GM4ZO/dpnn94nzgmzAahaolLzjtolGowr7OAHdpAECH8GvIOkD+9fj3mu17jqDSA5EflpvKIcrQ9
ml2gjxI6s0nqmunozIOuMe/1ACBvpg3GLsiT5LFQU3sR6SjF3uXRdiCSx7QZxVIgYVpLXYdS98KH
OlPERJVA1WdatQHxqJ/vhN8bY+G1PNH16CGjA6S2QgynrWqPtC/HMrUZMwXVlpEsHb8K5gM9GVTf
urL4+oNoZ9bKyReOHAOiH422ow8iI40wUxGm+JYBuczeNdWhlox7dJ2ZsePrsjYg+Iwd9g4ScBOK
yIoE/G8WVkF712mdvBoGT/4e6Gy8VTHK39kWZ+ugY0rh1oDr2zvGGjnw24AQlCW7XepmFCzRKeqL
SsqEC8HaWvZBYy1sf0ewhXYfE8p4y2OLAWbgQXgK7AYkiGz9kJshvnAwP3f9dMDwoIMl4b5OD8mH
KUm5LYKGpnH9SdzfB/hz3R7C21OoSMHq63t9bihEn2gNcKPz2ph2QR+GoulUlun0WnJyLVgUpT05
ifoi3jpB4j99Pdb793Y866fqr8bpldfg8fE/k0yIKGnI4QBeK0BvGsYYTUZdWXsFCNbMSpSdQvj2
nejV7kZVJX8PQd6Z61pSrMkqqzbvH+iP8A3X4c8qr/Pf4t+nf/YzL4Yq9APxn//+6W+HHM1r+uWP
rN/ym5f0rT7+oU+/tv7P9/9MGsSUx/jpL8tMhGLYN2/V8O2txjrw/hH+/sn/2//4b2/vv+UCvgEP
MYSE/0YJnGRDTsBV9yUtaoK/3j5iHP7+l/9QV+W/TMor1G2pWzGz/kE4qH8ZHJZYTZnD9JRk5u8/
DAfjLxqR1H4cS1PYqGmsQf8QV9W/sLHx4/Sb35s3f5QOebJ7nxgOVEemajmvk+OCuQ4Z0C9tCMtx
ZgRzbeRsr5r+hVfHycMzDYJujC4u13lyKhR5KxWOw7uiiVXMnFZNhLeFORnrmFh+uP93//WQ/Bty
xDv2m6L+j/91chBkKI6g8DB0tgon7dU89cDR+1ii+jbEdEK29Y5WujdT8gIQlB8KF2WZRM4LsCTH
HvILw5/cTvo10FZZj6bynXLctFaT0TY6Uy1d6MgHTM9PNg7Er69wWtQ+Lw4MYdAacvCen/Yeqkoa
GtlTStdQukNvaI+Yv6iN0y1AqVq+fT0YLcfT4Wjn2obOJvl9t/x54dMwPpgEE9SuDhNw68epUmAt
k9JtbHjpNmn1B93rSsD3filkZNXA0WYlBggir2P89Ys6xydkqb6CW5m4yk3TWQ7QMlgYYDOTBDZn
XTtRNlNLpWCnBqm/ihzCt6JUe1Wjbu23tfid6TZWu0rIKs5FB5rR4DQp1vVMuwnKxlloQawtGnno
H4eI5LHQ9DufmvCkf9UpmULOY5EGDJYTUFRpeyLljVtDwG03DWLFWr0CQOgL/6YhBQ0Eo+Mtcruh
KCAb5aptxnET2/51E0kt5Zn0t24l3/JQ/2mO9l5U4D47JH3bQu6f/RY6lkP0Ab41fidBVSPErbFc
x6WBPyFTkONG3VsVOOXGIqmG0qC0CJ28WuoqCSpd3pk3fa/hEJdMb6v62qNFROM2CkIxL2urmPwQ
b5opOYc+q8PFoETRzeiU/kGYOimWdjyXndZfWDmgLUITW0ReibeM5D64zmoiCQJvJnuw5XaGL5vx
sqskMVChGbCwCjtq+lWYW86htCA8Baji5qodWlfFu8g6KxRPIYelqswHHTjfUxC31S2kf36P3ffq
gXZYu0uqsHHRCVAcrCq8tSoRrTt80xVAMNkgYYN4xrRzmCJpGd2VOQaqqMM20Q6NumrDRH4kwhto
b1v2cykI1eZHE8ql4uMbUK4khEsHQI/jMgsx6nlmqi+wYNcYQEPF2YwS9C0yT6p9MWbVHRS1K5iV
2g80D+KgNxqtGylQrpVeM9EMMhdIFQxXjcgIZk+1H0FcGfg9wsZfRZbWu3odOji9/GhNNk41mQnz
uyYZFmrdDNeAkgoorMS8rfBZlD9y08DKFJoFdNneIJfD0ZsdeV9EJYyBeRda9QoqASw6T1BMdRT/
mTSVYMM/e6LkvtVTD3ha0e2JEqPXBTBTaiMJgBhhOaImNi8M2vp/M3dmy21iWxh+FVfuUQmQkLhI
V7UkD4oHdbqd+Jy+oYhEmEECNKCn72+DcBvJcezAqWPKN7bkxWaxhzX861+jzdrefpYMKiMU1cVN
6i6DqzwE6NRfpqvrHIMABk27H8/CnKQ/MxoikBEVAt3PqrHKzVSKu+OARXND6ZkEbYOmXKo73aGJ
ikSkyiNadOEbq8Fk1V1xN9sXdVq6RPlFTNebCwNiz087aWj8d+hnRMiGNs6cYWyvd57nQYOw3o41
apAu0w01RKEfUrHU60Lsaqx3Y9qA6RjFwfbTXnFEIYo6vDA8TYfmPvbGoU9bEG3gmKqhPujyPqfl
VNb9k1RW90rZqH9TV3UDTNGGWqDbg6QTTauA+OD2g5nU8BO6YEjZxKAFwwRCb9G6yruV0tUSJIMR
TKLVfuHSwm84gnkkHw0NezM1JHuNKdz9vMvXF9kOcD4YOm8UU7Z/uYe2foyzvPqSyNIgZHvaShh8
CdVTSqya6QYoX+wstXOYNVdLW73v95f6OJJ92LWjwSb9Yy0tVRPvYTh1w616STujAIJgh+5qcCzS
pwN/+c4I/EyhNoTOsbE8DG7YkPZTWJ+3dCLsQwlHdB1GXWm0HRrxOFgayiTtOjf0Hrl0OAAgEe5u
spEtupAEoRzdpeFwGmyUL34IrYdiyNHYHiafetTiTfZ7yZgYvjS8pbKWUKQOL8MqPR+slZ5JVfzy
m7dWN7NlLw31UR+SwAlbgjZzc293A+dTMNVCiFTUIWUrRMa3/4l3wBBFG1R2Et3LKY3XWEBUFey8
77onBQ8yRdv3xmDf+6zuKY9XA10ey1D8piPwQCoskk52rkXMLxlTfRGGuTTzQSGg5mjsJwPva98h
jJvrbgwVLeUjVMrSC9MDMyEYAoPL9X7QuwngKKaIYLnfzELoCa5ANwgeisGcBC6FmBtY5CYro+9N
h95wQMoHapWo74bn9KXKof7I3SsitqJHse4A2Ivj65gM9FU/6/dnmktan8pnm06T56FNm9ogd1D/
xtl9kdm5Jgp0WBcoKbhX6aIIh4G8DEZS5it/9VbauUaO+AGIXu/v3UZz7jSaQT6kkTqJfZfyMQ9q
l7u1vMwu/JCUQpYPvKueHyR0o2CScXh+j/xUoTleQvsq20innI/b6YZKUiqxdiTjrzOZMAZQ9SBd
l3bFm4z8V5jvr/MD/gdG/uFBhA1+YuXjLpSZEPFpYRre06bvyE941ZdeFvRKtwF4ANm0Rwayx0EV
TstLMgKTMa8XVtFXAaSRwGUdLhyAII4wUIuPpQE94onB6LSdBwHPRTiGGz5R0o/U8PITnrpUp3Je
eoLSr5ouPn5Q1NNuFYWst2hB6eA4KD2R8S8u1FrTQr8DEgNiRRA/xYWx/O60IKAkTeeCSCvrOBSl
Fojz1LTQ69DUgVIrWPKKC6/knWlhQIy9qRZk3jVFUJQtlBczvqYFuUNyk40ejtniKpfgu1oRp+GE
N68ItUO2SAMqDxJVXMcrAi0MBkRMQU0XF3Plnc0FcEFNV4Q67FAKJ9B3R3NA60ATKQrlDvvBu5sD
RHrYyRttB6reIVbDO+bxy+tICf0OOUtQqmB5iotwzPuaAsxdpZyXR6f2W46GXgeyS0q/BHCltg8Q
HxPQA4CE7/TxCVGVp3WDpxfLHDSH6JRUXMfmgdKhmEwR0aj39vJF5Ui5LBs8vtKRQZkMegDkn318
zgqBoS/CWf+XuT+P11EmItS2G0e1yLBIHbxm/R9J+Nc0ZP3zaBQKUm9UXEcLQGd/kAESPG6CbzAH
XnFaPprRY8cNFoWV7Vrpk3j8T79QWaCnAg6WZWE+oqfaF0WsvhRd2pji99/MBWmQiZtmiTsvMxNP
Pqys4eI+h38/PODprWv3qp6q+uOVayVmMofGvnAqDsMUaYyPH34PzG9maD59x5hpvJN/R/LxQ22c
T97/TwSn/pFcUVrYWG7i7uOoLljvsU80F+ybUWqmlSTxGmXQTNXvz2ZbHpfCS6oYm4H7PQYsWBs1
UXDO/6ajpndsnJiLuJIkRl3mEptLjiJrnrnzdVYTXmz/TYVPrMCEkZF4filJDLs0LhpLPiyns/j7
GcpZh9/qahecz9Vdf/2VXqB1d1F7n6C7RS696fiJPSR2fcgyTiK7YFPJV2jcdSs5xfQmk4/P2VTw
dGE6tQko94hUtSCXPHsEc3QlqRgyqT7Mj8ZDjhauebSLCJKKFiTH2/q0IKCGw9B0wNene5MmiwK1
xoIRsJ77eSWpUDJV+i0skpt47aYnagZ/08Lc+GHrgR9nxl+1V9+aSR6Y0eKpOpTS52uq6VtYwsy5
s06tLKvN6YNN2Vi+O6duxKzbaxR+tLDCb13OgjTOajNb1AC3sGBu3TQVP+Cpa0qnF2ZL0kE9Hotu
ZeBxBKzySCUgG6qn+PXT5c76lsBsWxetAD1oQ/TGrJ9bgD0ENKvp7PspmKThwhTyP1lJauXVWMVO
RZhWBCjbGPyttXPntWMM4W2c6C/1NW6qFLqdOWdjM4k5KevThbIMuQXFFDeYmP7x2gdB2IJJMqMu
qxpk8Tp7zMbqD7++fmZ+gEVS92ooftNbOHdmiWUfu8QENJuP+Q8rgsQ62JhHbgIQSZGOaTrD/3Ti
hXU2TU/OtjK23VT8X6Kf9rMTEQCYYANr5wanE1GIb8EevEf7VppaNYeE+jQRgGo69HtrV/cqKWdp
w2H9kplONTqxeGgbrbRw1n+16AEZ1Xy+Q8SzqSK+ung2R9Mbeg+RW2kq+sFMHTeys/rSVPs0im9B
uJVmZ88OnvRdC5PvwU3nMYinmuWmakWdUGPF5HQGjOxKCcU8AcL40zPzuUjTY4L2NP5UJV6f+7d6
cE18Yx5YZvLbPwAAAP//</cx:binary>
              </cx:geoCache>
            </cx:geography>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microsoft.com/office/2014/relationships/chartEx" Target="../charts/chartEx2.xml"/><Relationship Id="rId1" Type="http://schemas.openxmlformats.org/officeDocument/2006/relationships/chart" Target="../charts/chart4.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127000</xdr:colOff>
      <xdr:row>20</xdr:row>
      <xdr:rowOff>44450</xdr:rowOff>
    </xdr:from>
    <xdr:to>
      <xdr:col>4</xdr:col>
      <xdr:colOff>673100</xdr:colOff>
      <xdr:row>34</xdr:row>
      <xdr:rowOff>120650</xdr:rowOff>
    </xdr:to>
    <xdr:graphicFrame macro="">
      <xdr:nvGraphicFramePr>
        <xdr:cNvPr id="4" name="Chart 3">
          <a:extLst>
            <a:ext uri="{FF2B5EF4-FFF2-40B4-BE49-F238E27FC236}">
              <a16:creationId xmlns:a16="http://schemas.microsoft.com/office/drawing/2014/main" id="{6FD85FFF-4506-F3DA-B665-24B3EF94F2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330200</xdr:colOff>
      <xdr:row>36</xdr:row>
      <xdr:rowOff>19050</xdr:rowOff>
    </xdr:from>
    <xdr:to>
      <xdr:col>7</xdr:col>
      <xdr:colOff>558800</xdr:colOff>
      <xdr:row>50</xdr:row>
      <xdr:rowOff>95250</xdr:rowOff>
    </xdr:to>
    <xdr:graphicFrame macro="">
      <xdr:nvGraphicFramePr>
        <xdr:cNvPr id="3" name="Chart 2">
          <a:extLst>
            <a:ext uri="{FF2B5EF4-FFF2-40B4-BE49-F238E27FC236}">
              <a16:creationId xmlns:a16="http://schemas.microsoft.com/office/drawing/2014/main" id="{093C5EC4-C156-43C7-A92C-FDBF87B4F8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736600</xdr:colOff>
      <xdr:row>52</xdr:row>
      <xdr:rowOff>133350</xdr:rowOff>
    </xdr:from>
    <xdr:to>
      <xdr:col>13</xdr:col>
      <xdr:colOff>596900</xdr:colOff>
      <xdr:row>71</xdr:row>
      <xdr:rowOff>76200</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1AC58285-D1D5-F6F5-7D30-A5870FB5EB6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5753100" y="10039350"/>
              <a:ext cx="6464300" cy="35623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590550</xdr:colOff>
      <xdr:row>78</xdr:row>
      <xdr:rowOff>133350</xdr:rowOff>
    </xdr:from>
    <xdr:to>
      <xdr:col>12</xdr:col>
      <xdr:colOff>355600</xdr:colOff>
      <xdr:row>93</xdr:row>
      <xdr:rowOff>0</xdr:rowOff>
    </xdr:to>
    <xdr:graphicFrame macro="">
      <xdr:nvGraphicFramePr>
        <xdr:cNvPr id="7" name="Chart 6">
          <a:extLst>
            <a:ext uri="{FF2B5EF4-FFF2-40B4-BE49-F238E27FC236}">
              <a16:creationId xmlns:a16="http://schemas.microsoft.com/office/drawing/2014/main" id="{B48A357D-01F2-C0EC-B3C5-4B5BBD6EC0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533975</xdr:colOff>
      <xdr:row>6</xdr:row>
      <xdr:rowOff>101023</xdr:rowOff>
    </xdr:from>
    <xdr:to>
      <xdr:col>6</xdr:col>
      <xdr:colOff>476248</xdr:colOff>
      <xdr:row>12</xdr:row>
      <xdr:rowOff>86591</xdr:rowOff>
    </xdr:to>
    <xdr:sp macro="" textlink="">
      <xdr:nvSpPr>
        <xdr:cNvPr id="2" name="Rounded Rectangle 1">
          <a:extLst>
            <a:ext uri="{FF2B5EF4-FFF2-40B4-BE49-F238E27FC236}">
              <a16:creationId xmlns:a16="http://schemas.microsoft.com/office/drawing/2014/main" id="{F463E756-A3A8-1F00-A1EC-1AAFE147DB00}"/>
            </a:ext>
          </a:extLst>
        </xdr:cNvPr>
        <xdr:cNvSpPr/>
      </xdr:nvSpPr>
      <xdr:spPr>
        <a:xfrm>
          <a:off x="533975" y="1226705"/>
          <a:ext cx="4877955" cy="1111250"/>
        </a:xfrm>
        <a:prstGeom prst="roundRect">
          <a:avLst/>
        </a:prstGeom>
        <a:solidFill>
          <a:schemeClr val="accent1">
            <a:alpha val="29580"/>
          </a:schemeClr>
        </a:solidFill>
        <a:ln>
          <a:solidFill>
            <a:schemeClr val="accent1">
              <a:shade val="15000"/>
              <a:alpha val="32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542058</xdr:colOff>
      <xdr:row>13</xdr:row>
      <xdr:rowOff>80241</xdr:rowOff>
    </xdr:from>
    <xdr:to>
      <xdr:col>6</xdr:col>
      <xdr:colOff>484331</xdr:colOff>
      <xdr:row>19</xdr:row>
      <xdr:rowOff>65809</xdr:rowOff>
    </xdr:to>
    <xdr:sp macro="" textlink="">
      <xdr:nvSpPr>
        <xdr:cNvPr id="3" name="Rounded Rectangle 2">
          <a:extLst>
            <a:ext uri="{FF2B5EF4-FFF2-40B4-BE49-F238E27FC236}">
              <a16:creationId xmlns:a16="http://schemas.microsoft.com/office/drawing/2014/main" id="{86FCD763-3059-3143-9953-3B58DB0269DC}"/>
            </a:ext>
          </a:extLst>
        </xdr:cNvPr>
        <xdr:cNvSpPr/>
      </xdr:nvSpPr>
      <xdr:spPr>
        <a:xfrm>
          <a:off x="542058" y="2519218"/>
          <a:ext cx="4877955" cy="1111250"/>
        </a:xfrm>
        <a:prstGeom prst="roundRect">
          <a:avLst/>
        </a:prstGeom>
        <a:solidFill>
          <a:schemeClr val="accent1">
            <a:alpha val="29580"/>
          </a:schemeClr>
        </a:solidFill>
        <a:ln>
          <a:solidFill>
            <a:schemeClr val="accent1">
              <a:shade val="15000"/>
              <a:alpha val="32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535708</xdr:colOff>
      <xdr:row>20</xdr:row>
      <xdr:rowOff>45027</xdr:rowOff>
    </xdr:from>
    <xdr:to>
      <xdr:col>6</xdr:col>
      <xdr:colOff>477981</xdr:colOff>
      <xdr:row>26</xdr:row>
      <xdr:rowOff>30595</xdr:rowOff>
    </xdr:to>
    <xdr:sp macro="" textlink="">
      <xdr:nvSpPr>
        <xdr:cNvPr id="4" name="Rounded Rectangle 3">
          <a:extLst>
            <a:ext uri="{FF2B5EF4-FFF2-40B4-BE49-F238E27FC236}">
              <a16:creationId xmlns:a16="http://schemas.microsoft.com/office/drawing/2014/main" id="{B0ED08F1-6C5F-1D42-B757-2862504EBA24}"/>
            </a:ext>
          </a:extLst>
        </xdr:cNvPr>
        <xdr:cNvSpPr/>
      </xdr:nvSpPr>
      <xdr:spPr>
        <a:xfrm>
          <a:off x="535708" y="3797300"/>
          <a:ext cx="4877955" cy="1111250"/>
        </a:xfrm>
        <a:prstGeom prst="roundRect">
          <a:avLst/>
        </a:prstGeom>
        <a:solidFill>
          <a:schemeClr val="accent1">
            <a:alpha val="29580"/>
          </a:schemeClr>
        </a:solidFill>
        <a:ln>
          <a:solidFill>
            <a:schemeClr val="accent1">
              <a:shade val="15000"/>
              <a:alpha val="32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492420</xdr:colOff>
      <xdr:row>27</xdr:row>
      <xdr:rowOff>61204</xdr:rowOff>
    </xdr:from>
    <xdr:to>
      <xdr:col>5</xdr:col>
      <xdr:colOff>168313</xdr:colOff>
      <xdr:row>45</xdr:row>
      <xdr:rowOff>87458</xdr:rowOff>
    </xdr:to>
    <xdr:sp macro="" textlink="">
      <xdr:nvSpPr>
        <xdr:cNvPr id="5" name="Rounded Rectangle 4">
          <a:extLst>
            <a:ext uri="{FF2B5EF4-FFF2-40B4-BE49-F238E27FC236}">
              <a16:creationId xmlns:a16="http://schemas.microsoft.com/office/drawing/2014/main" id="{ACA792C2-B48E-3748-9CC8-FE4A91D68F99}"/>
            </a:ext>
          </a:extLst>
        </xdr:cNvPr>
        <xdr:cNvSpPr/>
      </xdr:nvSpPr>
      <xdr:spPr>
        <a:xfrm>
          <a:off x="492420" y="5018794"/>
          <a:ext cx="3807218" cy="3331315"/>
        </a:xfrm>
        <a:prstGeom prst="roundRect">
          <a:avLst/>
        </a:prstGeom>
        <a:solidFill>
          <a:schemeClr val="accent1">
            <a:alpha val="29580"/>
          </a:schemeClr>
        </a:solidFill>
        <a:ln>
          <a:solidFill>
            <a:schemeClr val="accent1">
              <a:shade val="15000"/>
              <a:alpha val="32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5</xdr:col>
      <xdr:colOff>322021</xdr:colOff>
      <xdr:row>26</xdr:row>
      <xdr:rowOff>180137</xdr:rowOff>
    </xdr:from>
    <xdr:to>
      <xdr:col>12</xdr:col>
      <xdr:colOff>107109</xdr:colOff>
      <xdr:row>45</xdr:row>
      <xdr:rowOff>137710</xdr:rowOff>
    </xdr:to>
    <xdr:sp macro="" textlink="">
      <xdr:nvSpPr>
        <xdr:cNvPr id="6" name="Rounded Rectangle 5">
          <a:extLst>
            <a:ext uri="{FF2B5EF4-FFF2-40B4-BE49-F238E27FC236}">
              <a16:creationId xmlns:a16="http://schemas.microsoft.com/office/drawing/2014/main" id="{9D451015-B2BE-7540-8CA2-7096A4DB76F4}"/>
            </a:ext>
          </a:extLst>
        </xdr:cNvPr>
        <xdr:cNvSpPr/>
      </xdr:nvSpPr>
      <xdr:spPr>
        <a:xfrm>
          <a:off x="4453346" y="4954113"/>
          <a:ext cx="5568944" cy="3446248"/>
        </a:xfrm>
        <a:prstGeom prst="roundRect">
          <a:avLst/>
        </a:prstGeom>
        <a:solidFill>
          <a:schemeClr val="accent1">
            <a:alpha val="29580"/>
          </a:schemeClr>
        </a:solidFill>
        <a:ln>
          <a:solidFill>
            <a:schemeClr val="accent1">
              <a:shade val="15000"/>
              <a:alpha val="32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12</xdr:col>
      <xdr:colOff>199172</xdr:colOff>
      <xdr:row>26</xdr:row>
      <xdr:rowOff>107108</xdr:rowOff>
    </xdr:from>
    <xdr:to>
      <xdr:col>16</xdr:col>
      <xdr:colOff>642651</xdr:colOff>
      <xdr:row>46</xdr:row>
      <xdr:rowOff>107108</xdr:rowOff>
    </xdr:to>
    <xdr:sp macro="" textlink="">
      <xdr:nvSpPr>
        <xdr:cNvPr id="7" name="Rounded Rectangle 6">
          <a:extLst>
            <a:ext uri="{FF2B5EF4-FFF2-40B4-BE49-F238E27FC236}">
              <a16:creationId xmlns:a16="http://schemas.microsoft.com/office/drawing/2014/main" id="{68669AF2-EC49-E941-8F7D-90D0CED8C51B}"/>
            </a:ext>
          </a:extLst>
        </xdr:cNvPr>
        <xdr:cNvSpPr/>
      </xdr:nvSpPr>
      <xdr:spPr>
        <a:xfrm>
          <a:off x="10114353" y="4881084"/>
          <a:ext cx="3748539" cy="3672289"/>
        </a:xfrm>
        <a:prstGeom prst="roundRect">
          <a:avLst/>
        </a:prstGeom>
        <a:solidFill>
          <a:schemeClr val="accent1">
            <a:alpha val="29580"/>
          </a:schemeClr>
        </a:solidFill>
        <a:ln>
          <a:solidFill>
            <a:schemeClr val="accent1">
              <a:shade val="15000"/>
              <a:alpha val="32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6</xdr:col>
      <xdr:colOff>721591</xdr:colOff>
      <xdr:row>6</xdr:row>
      <xdr:rowOff>129885</xdr:rowOff>
    </xdr:from>
    <xdr:to>
      <xdr:col>16</xdr:col>
      <xdr:colOff>504940</xdr:colOff>
      <xdr:row>25</xdr:row>
      <xdr:rowOff>144318</xdr:rowOff>
    </xdr:to>
    <xdr:sp macro="" textlink="">
      <xdr:nvSpPr>
        <xdr:cNvPr id="8" name="Rounded Rectangle 7">
          <a:extLst>
            <a:ext uri="{FF2B5EF4-FFF2-40B4-BE49-F238E27FC236}">
              <a16:creationId xmlns:a16="http://schemas.microsoft.com/office/drawing/2014/main" id="{33B41029-6575-3347-A0C4-362A7752E8D6}"/>
            </a:ext>
          </a:extLst>
        </xdr:cNvPr>
        <xdr:cNvSpPr/>
      </xdr:nvSpPr>
      <xdr:spPr>
        <a:xfrm>
          <a:off x="5679181" y="1231572"/>
          <a:ext cx="8046000" cy="3503107"/>
        </a:xfrm>
        <a:prstGeom prst="roundRect">
          <a:avLst/>
        </a:prstGeom>
        <a:solidFill>
          <a:schemeClr val="accent1">
            <a:alpha val="29580"/>
          </a:schemeClr>
        </a:solidFill>
        <a:ln>
          <a:solidFill>
            <a:schemeClr val="accent1">
              <a:shade val="15000"/>
              <a:alpha val="32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432955</xdr:colOff>
      <xdr:row>8</xdr:row>
      <xdr:rowOff>72162</xdr:rowOff>
    </xdr:from>
    <xdr:to>
      <xdr:col>5</xdr:col>
      <xdr:colOff>663865</xdr:colOff>
      <xdr:row>11</xdr:row>
      <xdr:rowOff>129888</xdr:rowOff>
    </xdr:to>
    <xdr:sp macro="" textlink="'x!'!B2">
      <xdr:nvSpPr>
        <xdr:cNvPr id="9" name="TextBox 8">
          <a:extLst>
            <a:ext uri="{FF2B5EF4-FFF2-40B4-BE49-F238E27FC236}">
              <a16:creationId xmlns:a16="http://schemas.microsoft.com/office/drawing/2014/main" id="{F4A43E3D-0895-7096-3AA1-303D2B17A28D}"/>
            </a:ext>
          </a:extLst>
        </xdr:cNvPr>
        <xdr:cNvSpPr txBox="1"/>
      </xdr:nvSpPr>
      <xdr:spPr>
        <a:xfrm>
          <a:off x="1255569" y="1573071"/>
          <a:ext cx="3521364" cy="6205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538D76F-8D14-624A-94EC-9CAE37A1FF47}" type="TxLink">
            <a:rPr lang="en-US" sz="3200" b="0" i="0" u="none" strike="noStrike">
              <a:solidFill>
                <a:schemeClr val="bg1"/>
              </a:solidFill>
              <a:effectLst/>
              <a:latin typeface="Aptos Narrow"/>
              <a:ea typeface="+mn-ea"/>
              <a:cs typeface="+mn-cs"/>
            </a:rPr>
            <a:pPr algn="ctr"/>
            <a:t> $15,893,493 </a:t>
          </a:fld>
          <a:endParaRPr lang="en-US" sz="3200">
            <a:solidFill>
              <a:schemeClr val="bg1"/>
            </a:solidFill>
          </a:endParaRPr>
        </a:p>
      </xdr:txBody>
    </xdr:sp>
    <xdr:clientData/>
  </xdr:twoCellAnchor>
  <xdr:twoCellAnchor>
    <xdr:from>
      <xdr:col>1</xdr:col>
      <xdr:colOff>441036</xdr:colOff>
      <xdr:row>6</xdr:row>
      <xdr:rowOff>129886</xdr:rowOff>
    </xdr:from>
    <xdr:to>
      <xdr:col>5</xdr:col>
      <xdr:colOff>671946</xdr:colOff>
      <xdr:row>8</xdr:row>
      <xdr:rowOff>22514</xdr:rowOff>
    </xdr:to>
    <xdr:sp macro="" textlink="">
      <xdr:nvSpPr>
        <xdr:cNvPr id="10" name="TextBox 9">
          <a:extLst>
            <a:ext uri="{FF2B5EF4-FFF2-40B4-BE49-F238E27FC236}">
              <a16:creationId xmlns:a16="http://schemas.microsoft.com/office/drawing/2014/main" id="{F56252D8-194B-4C4C-898E-0369CA8D35BC}"/>
            </a:ext>
          </a:extLst>
        </xdr:cNvPr>
        <xdr:cNvSpPr txBox="1"/>
      </xdr:nvSpPr>
      <xdr:spPr>
        <a:xfrm>
          <a:off x="1263650" y="1255568"/>
          <a:ext cx="3521364" cy="2678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0" i="0" u="none" strike="noStrike">
              <a:solidFill>
                <a:schemeClr val="bg1"/>
              </a:solidFill>
              <a:latin typeface="Aptos Narrow"/>
            </a:rPr>
            <a:t> Ingreso</a:t>
          </a:r>
          <a:r>
            <a:rPr lang="en-US" sz="1600" b="0" i="0" u="none" strike="noStrike" baseline="0">
              <a:solidFill>
                <a:schemeClr val="bg1"/>
              </a:solidFill>
              <a:latin typeface="Aptos Narrow"/>
            </a:rPr>
            <a:t> Total</a:t>
          </a:r>
          <a:r>
            <a:rPr lang="en-US" sz="1600" b="0" i="0" u="none" strike="noStrike">
              <a:solidFill>
                <a:schemeClr val="bg1"/>
              </a:solidFill>
              <a:latin typeface="Aptos Narrow"/>
            </a:rPr>
            <a:t> </a:t>
          </a:r>
        </a:p>
      </xdr:txBody>
    </xdr:sp>
    <xdr:clientData/>
  </xdr:twoCellAnchor>
  <xdr:twoCellAnchor>
    <xdr:from>
      <xdr:col>1</xdr:col>
      <xdr:colOff>542060</xdr:colOff>
      <xdr:row>15</xdr:row>
      <xdr:rowOff>36948</xdr:rowOff>
    </xdr:from>
    <xdr:to>
      <xdr:col>5</xdr:col>
      <xdr:colOff>772970</xdr:colOff>
      <xdr:row>18</xdr:row>
      <xdr:rowOff>94675</xdr:rowOff>
    </xdr:to>
    <xdr:sp macro="" textlink="'x!'!B9">
      <xdr:nvSpPr>
        <xdr:cNvPr id="11" name="TextBox 10">
          <a:extLst>
            <a:ext uri="{FF2B5EF4-FFF2-40B4-BE49-F238E27FC236}">
              <a16:creationId xmlns:a16="http://schemas.microsoft.com/office/drawing/2014/main" id="{99FE4B01-4AC5-A449-82FB-07C4012B99AC}"/>
            </a:ext>
          </a:extLst>
        </xdr:cNvPr>
        <xdr:cNvSpPr txBox="1"/>
      </xdr:nvSpPr>
      <xdr:spPr>
        <a:xfrm>
          <a:off x="1364674" y="2851153"/>
          <a:ext cx="3521364" cy="6205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2B6E0E7-AB7D-D94C-99F4-FFEC9DEF749D}" type="TxLink">
            <a:rPr lang="en-US" sz="3200" b="0" i="0" u="none" strike="noStrike">
              <a:solidFill>
                <a:schemeClr val="bg1"/>
              </a:solidFill>
              <a:effectLst/>
              <a:latin typeface="Aptos Narrow"/>
              <a:ea typeface="+mn-ea"/>
              <a:cs typeface="+mn-cs"/>
            </a:rPr>
            <a:pPr marL="0" indent="0" algn="ctr"/>
            <a:t>150</a:t>
          </a:fld>
          <a:endParaRPr lang="en-US" sz="3200" b="0" i="0" u="none" strike="noStrike">
            <a:solidFill>
              <a:schemeClr val="bg1"/>
            </a:solidFill>
            <a:effectLst/>
            <a:latin typeface="Aptos Narrow"/>
            <a:ea typeface="+mn-ea"/>
            <a:cs typeface="+mn-cs"/>
          </a:endParaRPr>
        </a:p>
      </xdr:txBody>
    </xdr:sp>
    <xdr:clientData/>
  </xdr:twoCellAnchor>
  <xdr:twoCellAnchor>
    <xdr:from>
      <xdr:col>2</xdr:col>
      <xdr:colOff>606137</xdr:colOff>
      <xdr:row>13</xdr:row>
      <xdr:rowOff>129888</xdr:rowOff>
    </xdr:from>
    <xdr:to>
      <xdr:col>5</xdr:col>
      <xdr:colOff>288638</xdr:colOff>
      <xdr:row>15</xdr:row>
      <xdr:rowOff>101024</xdr:rowOff>
    </xdr:to>
    <xdr:sp macro="" textlink="">
      <xdr:nvSpPr>
        <xdr:cNvPr id="12" name="TextBox 11">
          <a:extLst>
            <a:ext uri="{FF2B5EF4-FFF2-40B4-BE49-F238E27FC236}">
              <a16:creationId xmlns:a16="http://schemas.microsoft.com/office/drawing/2014/main" id="{A8E5E443-54C2-6B6C-112D-B59576256BD3}"/>
            </a:ext>
          </a:extLst>
        </xdr:cNvPr>
        <xdr:cNvSpPr txBox="1"/>
      </xdr:nvSpPr>
      <xdr:spPr>
        <a:xfrm>
          <a:off x="2251364" y="2568865"/>
          <a:ext cx="2150342" cy="346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i="0" u="none" strike="noStrike">
              <a:solidFill>
                <a:schemeClr val="bg1"/>
              </a:solidFill>
              <a:latin typeface="Aptos Narrow"/>
              <a:ea typeface="+mn-ea"/>
              <a:cs typeface="+mn-cs"/>
            </a:rPr>
            <a:t>Servicios</a:t>
          </a:r>
          <a:r>
            <a:rPr lang="en-US" sz="1100" b="0" i="0" u="none" strike="noStrike" baseline="0">
              <a:solidFill>
                <a:schemeClr val="bg1"/>
              </a:solidFill>
              <a:latin typeface="+mn-lt"/>
              <a:ea typeface="+mn-ea"/>
              <a:cs typeface="+mn-cs"/>
            </a:rPr>
            <a:t> </a:t>
          </a:r>
          <a:r>
            <a:rPr lang="en-US" sz="1600" b="0" i="0" u="none" strike="noStrike">
              <a:solidFill>
                <a:schemeClr val="bg1"/>
              </a:solidFill>
              <a:latin typeface="Aptos Narrow"/>
              <a:ea typeface="+mn-ea"/>
              <a:cs typeface="+mn-cs"/>
            </a:rPr>
            <a:t>Ofrecidos</a:t>
          </a:r>
        </a:p>
      </xdr:txBody>
    </xdr:sp>
    <xdr:clientData/>
  </xdr:twoCellAnchor>
  <xdr:twoCellAnchor>
    <xdr:from>
      <xdr:col>2</xdr:col>
      <xdr:colOff>404091</xdr:colOff>
      <xdr:row>20</xdr:row>
      <xdr:rowOff>80241</xdr:rowOff>
    </xdr:from>
    <xdr:to>
      <xdr:col>5</xdr:col>
      <xdr:colOff>397743</xdr:colOff>
      <xdr:row>22</xdr:row>
      <xdr:rowOff>51378</xdr:rowOff>
    </xdr:to>
    <xdr:sp macro="" textlink="">
      <xdr:nvSpPr>
        <xdr:cNvPr id="13" name="TextBox 12">
          <a:extLst>
            <a:ext uri="{FF2B5EF4-FFF2-40B4-BE49-F238E27FC236}">
              <a16:creationId xmlns:a16="http://schemas.microsoft.com/office/drawing/2014/main" id="{89FD2742-279D-DA42-A5C5-6202B69506F0}"/>
            </a:ext>
          </a:extLst>
        </xdr:cNvPr>
        <xdr:cNvSpPr txBox="1"/>
      </xdr:nvSpPr>
      <xdr:spPr>
        <a:xfrm>
          <a:off x="2049318" y="3832514"/>
          <a:ext cx="2461493" cy="346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i="0" u="none" strike="noStrike">
              <a:solidFill>
                <a:schemeClr val="bg1"/>
              </a:solidFill>
              <a:latin typeface="Aptos Narrow"/>
              <a:ea typeface="+mn-ea"/>
              <a:cs typeface="+mn-cs"/>
            </a:rPr>
            <a:t>Ingreso promedio</a:t>
          </a:r>
          <a:r>
            <a:rPr lang="en-US" sz="1600" b="0" i="0" u="none" strike="noStrike" baseline="0">
              <a:solidFill>
                <a:schemeClr val="bg1"/>
              </a:solidFill>
              <a:latin typeface="Aptos Narrow"/>
              <a:ea typeface="+mn-ea"/>
              <a:cs typeface="+mn-cs"/>
            </a:rPr>
            <a:t> al mes</a:t>
          </a:r>
        </a:p>
        <a:p>
          <a:endParaRPr lang="en-US" sz="1600" b="0" i="0" u="none" strike="noStrike">
            <a:solidFill>
              <a:schemeClr val="bg1"/>
            </a:solidFill>
            <a:latin typeface="Aptos Narrow"/>
            <a:ea typeface="+mn-ea"/>
            <a:cs typeface="+mn-cs"/>
          </a:endParaRPr>
        </a:p>
      </xdr:txBody>
    </xdr:sp>
    <xdr:clientData/>
  </xdr:twoCellAnchor>
  <xdr:twoCellAnchor>
    <xdr:from>
      <xdr:col>1</xdr:col>
      <xdr:colOff>550142</xdr:colOff>
      <xdr:row>22</xdr:row>
      <xdr:rowOff>45030</xdr:rowOff>
    </xdr:from>
    <xdr:to>
      <xdr:col>5</xdr:col>
      <xdr:colOff>781052</xdr:colOff>
      <xdr:row>25</xdr:row>
      <xdr:rowOff>102756</xdr:rowOff>
    </xdr:to>
    <xdr:sp macro="" textlink="'x!'!C2">
      <xdr:nvSpPr>
        <xdr:cNvPr id="14" name="TextBox 13">
          <a:extLst>
            <a:ext uri="{FF2B5EF4-FFF2-40B4-BE49-F238E27FC236}">
              <a16:creationId xmlns:a16="http://schemas.microsoft.com/office/drawing/2014/main" id="{6A5AA766-B128-6744-8EDF-0B17023FF1B7}"/>
            </a:ext>
          </a:extLst>
        </xdr:cNvPr>
        <xdr:cNvSpPr txBox="1"/>
      </xdr:nvSpPr>
      <xdr:spPr>
        <a:xfrm>
          <a:off x="1372756" y="4172530"/>
          <a:ext cx="3521364" cy="6205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E1708B44-A060-3D46-9027-112E31C775D3}" type="TxLink">
            <a:rPr lang="en-US" sz="3200" b="0" i="0" u="none" strike="noStrike">
              <a:solidFill>
                <a:schemeClr val="bg1"/>
              </a:solidFill>
              <a:effectLst/>
              <a:latin typeface="Aptos Narrow"/>
              <a:ea typeface="+mn-ea"/>
              <a:cs typeface="+mn-cs"/>
            </a:rPr>
            <a:pPr marL="0" indent="0" algn="ctr"/>
            <a:t> $1,324,458 </a:t>
          </a:fld>
          <a:endParaRPr lang="en-US" sz="3200" b="0" i="0" u="none" strike="noStrike">
            <a:solidFill>
              <a:schemeClr val="bg1"/>
            </a:solidFill>
            <a:effectLst/>
            <a:latin typeface="Aptos Narrow"/>
            <a:ea typeface="+mn-ea"/>
            <a:cs typeface="+mn-cs"/>
          </a:endParaRPr>
        </a:p>
      </xdr:txBody>
    </xdr:sp>
    <xdr:clientData/>
  </xdr:twoCellAnchor>
  <xdr:twoCellAnchor>
    <xdr:from>
      <xdr:col>0</xdr:col>
      <xdr:colOff>668210</xdr:colOff>
      <xdr:row>28</xdr:row>
      <xdr:rowOff>168313</xdr:rowOff>
    </xdr:from>
    <xdr:to>
      <xdr:col>5</xdr:col>
      <xdr:colOff>351928</xdr:colOff>
      <xdr:row>44</xdr:row>
      <xdr:rowOff>27994</xdr:rowOff>
    </xdr:to>
    <xdr:graphicFrame macro="">
      <xdr:nvGraphicFramePr>
        <xdr:cNvPr id="16" name="Chart 15">
          <a:extLst>
            <a:ext uri="{FF2B5EF4-FFF2-40B4-BE49-F238E27FC236}">
              <a16:creationId xmlns:a16="http://schemas.microsoft.com/office/drawing/2014/main" id="{BAD2AD0B-6CF8-0F4B-9FCD-1A49A596AA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431739</xdr:colOff>
      <xdr:row>28</xdr:row>
      <xdr:rowOff>70418</xdr:rowOff>
    </xdr:from>
    <xdr:to>
      <xdr:col>11</xdr:col>
      <xdr:colOff>596748</xdr:colOff>
      <xdr:row>43</xdr:row>
      <xdr:rowOff>122409</xdr:rowOff>
    </xdr:to>
    <mc:AlternateContent xmlns:mc="http://schemas.openxmlformats.org/markup-compatibility/2006">
      <mc:Choice xmlns:cx4="http://schemas.microsoft.com/office/drawing/2016/5/10/chartex" Requires="cx4">
        <xdr:graphicFrame macro="">
          <xdr:nvGraphicFramePr>
            <xdr:cNvPr id="17" name="Chart 16">
              <a:extLst>
                <a:ext uri="{FF2B5EF4-FFF2-40B4-BE49-F238E27FC236}">
                  <a16:creationId xmlns:a16="http://schemas.microsoft.com/office/drawing/2014/main" id="{F19D355F-0BDA-E74D-986C-954D965794A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563064" y="5211623"/>
              <a:ext cx="5122600" cy="280620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367229</xdr:colOff>
      <xdr:row>8</xdr:row>
      <xdr:rowOff>15300</xdr:rowOff>
    </xdr:from>
    <xdr:to>
      <xdr:col>16</xdr:col>
      <xdr:colOff>15301</xdr:colOff>
      <xdr:row>24</xdr:row>
      <xdr:rowOff>15301</xdr:rowOff>
    </xdr:to>
    <xdr:graphicFrame macro="">
      <xdr:nvGraphicFramePr>
        <xdr:cNvPr id="18" name="Chart 17">
          <a:extLst>
            <a:ext uri="{FF2B5EF4-FFF2-40B4-BE49-F238E27FC236}">
              <a16:creationId xmlns:a16="http://schemas.microsoft.com/office/drawing/2014/main" id="{320195C7-C283-684F-934A-435A6469F6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329591</xdr:colOff>
      <xdr:row>22</xdr:row>
      <xdr:rowOff>121185</xdr:rowOff>
    </xdr:from>
    <xdr:to>
      <xdr:col>19</xdr:col>
      <xdr:colOff>397833</xdr:colOff>
      <xdr:row>31</xdr:row>
      <xdr:rowOff>107108</xdr:rowOff>
    </xdr:to>
    <mc:AlternateContent xmlns:mc="http://schemas.openxmlformats.org/markup-compatibility/2006">
      <mc:Choice xmlns:a14="http://schemas.microsoft.com/office/drawing/2010/main" Requires="a14">
        <xdr:graphicFrame macro="">
          <xdr:nvGraphicFramePr>
            <xdr:cNvPr id="21" name="Animal">
              <a:extLst>
                <a:ext uri="{FF2B5EF4-FFF2-40B4-BE49-F238E27FC236}">
                  <a16:creationId xmlns:a16="http://schemas.microsoft.com/office/drawing/2014/main" id="{7A90068F-A605-F267-AA39-8B6497B67FF9}"/>
                </a:ext>
              </a:extLst>
            </xdr:cNvPr>
            <xdr:cNvGraphicFramePr/>
          </xdr:nvGraphicFramePr>
          <xdr:xfrm>
            <a:off x="0" y="0"/>
            <a:ext cx="0" cy="0"/>
          </xdr:xfrm>
          <a:graphic>
            <a:graphicData uri="http://schemas.microsoft.com/office/drawing/2010/slicer">
              <sle:slicer xmlns:sle="http://schemas.microsoft.com/office/drawing/2010/slicer" name="Animal"/>
            </a:graphicData>
          </a:graphic>
        </xdr:graphicFrame>
      </mc:Choice>
      <mc:Fallback>
        <xdr:sp macro="" textlink="">
          <xdr:nvSpPr>
            <xdr:cNvPr id="0" name=""/>
            <xdr:cNvSpPr>
              <a:spLocks noTextEdit="1"/>
            </xdr:cNvSpPr>
          </xdr:nvSpPr>
          <xdr:spPr>
            <a:xfrm>
              <a:off x="14376097" y="4160703"/>
              <a:ext cx="1720772" cy="16384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300210</xdr:colOff>
      <xdr:row>12</xdr:row>
      <xdr:rowOff>137712</xdr:rowOff>
    </xdr:from>
    <xdr:to>
      <xdr:col>19</xdr:col>
      <xdr:colOff>413132</xdr:colOff>
      <xdr:row>21</xdr:row>
      <xdr:rowOff>107109</xdr:rowOff>
    </xdr:to>
    <mc:AlternateContent xmlns:mc="http://schemas.openxmlformats.org/markup-compatibility/2006">
      <mc:Choice xmlns:a14="http://schemas.microsoft.com/office/drawing/2010/main" Requires="a14">
        <xdr:graphicFrame macro="">
          <xdr:nvGraphicFramePr>
            <xdr:cNvPr id="23" name="Servicio recibido">
              <a:extLst>
                <a:ext uri="{FF2B5EF4-FFF2-40B4-BE49-F238E27FC236}">
                  <a16:creationId xmlns:a16="http://schemas.microsoft.com/office/drawing/2014/main" id="{7752F1B7-7A5E-F1DE-3F28-51B7787165AF}"/>
                </a:ext>
              </a:extLst>
            </xdr:cNvPr>
            <xdr:cNvGraphicFramePr/>
          </xdr:nvGraphicFramePr>
          <xdr:xfrm>
            <a:off x="0" y="0"/>
            <a:ext cx="0" cy="0"/>
          </xdr:xfrm>
          <a:graphic>
            <a:graphicData uri="http://schemas.microsoft.com/office/drawing/2010/slicer">
              <sle:slicer xmlns:sle="http://schemas.microsoft.com/office/drawing/2010/slicer" name="Servicio recibido"/>
            </a:graphicData>
          </a:graphic>
        </xdr:graphicFrame>
      </mc:Choice>
      <mc:Fallback>
        <xdr:sp macro="" textlink="">
          <xdr:nvSpPr>
            <xdr:cNvPr id="0" name=""/>
            <xdr:cNvSpPr>
              <a:spLocks noTextEdit="1"/>
            </xdr:cNvSpPr>
          </xdr:nvSpPr>
          <xdr:spPr>
            <a:xfrm>
              <a:off x="14346716" y="2341085"/>
              <a:ext cx="1765452" cy="16219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321326</xdr:colOff>
      <xdr:row>32</xdr:row>
      <xdr:rowOff>91806</xdr:rowOff>
    </xdr:from>
    <xdr:to>
      <xdr:col>19</xdr:col>
      <xdr:colOff>459036</xdr:colOff>
      <xdr:row>41</xdr:row>
      <xdr:rowOff>61203</xdr:rowOff>
    </xdr:to>
    <mc:AlternateContent xmlns:mc="http://schemas.openxmlformats.org/markup-compatibility/2006">
      <mc:Choice xmlns:a14="http://schemas.microsoft.com/office/drawing/2010/main" Requires="a14">
        <xdr:graphicFrame macro="">
          <xdr:nvGraphicFramePr>
            <xdr:cNvPr id="24" name="Medico Veterinario que atendió">
              <a:extLst>
                <a:ext uri="{FF2B5EF4-FFF2-40B4-BE49-F238E27FC236}">
                  <a16:creationId xmlns:a16="http://schemas.microsoft.com/office/drawing/2014/main" id="{A10C2500-9044-EBDB-774D-E53980ED072E}"/>
                </a:ext>
              </a:extLst>
            </xdr:cNvPr>
            <xdr:cNvGraphicFramePr/>
          </xdr:nvGraphicFramePr>
          <xdr:xfrm>
            <a:off x="0" y="0"/>
            <a:ext cx="0" cy="0"/>
          </xdr:xfrm>
          <a:graphic>
            <a:graphicData uri="http://schemas.microsoft.com/office/drawing/2010/slicer">
              <sle:slicer xmlns:sle="http://schemas.microsoft.com/office/drawing/2010/slicer" name="Medico Veterinario que atendió"/>
            </a:graphicData>
          </a:graphic>
        </xdr:graphicFrame>
      </mc:Choice>
      <mc:Fallback>
        <xdr:sp macro="" textlink="">
          <xdr:nvSpPr>
            <xdr:cNvPr id="0" name=""/>
            <xdr:cNvSpPr>
              <a:spLocks noTextEdit="1"/>
            </xdr:cNvSpPr>
          </xdr:nvSpPr>
          <xdr:spPr>
            <a:xfrm>
              <a:off x="14367832" y="5967469"/>
              <a:ext cx="1790240" cy="16219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168313</xdr:colOff>
      <xdr:row>28</xdr:row>
      <xdr:rowOff>137710</xdr:rowOff>
    </xdr:from>
    <xdr:to>
      <xdr:col>16</xdr:col>
      <xdr:colOff>688554</xdr:colOff>
      <xdr:row>43</xdr:row>
      <xdr:rowOff>122410</xdr:rowOff>
    </xdr:to>
    <xdr:graphicFrame macro="">
      <xdr:nvGraphicFramePr>
        <xdr:cNvPr id="25" name="Chart 24">
          <a:extLst>
            <a:ext uri="{FF2B5EF4-FFF2-40B4-BE49-F238E27FC236}">
              <a16:creationId xmlns:a16="http://schemas.microsoft.com/office/drawing/2014/main" id="{66B89C30-AB2C-8845-A4D9-9C89A7366B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137711</xdr:colOff>
      <xdr:row>1</xdr:row>
      <xdr:rowOff>137711</xdr:rowOff>
    </xdr:from>
    <xdr:to>
      <xdr:col>16</xdr:col>
      <xdr:colOff>229518</xdr:colOff>
      <xdr:row>4</xdr:row>
      <xdr:rowOff>153012</xdr:rowOff>
    </xdr:to>
    <xdr:sp macro="" textlink="">
      <xdr:nvSpPr>
        <xdr:cNvPr id="26" name="TextBox 25">
          <a:extLst>
            <a:ext uri="{FF2B5EF4-FFF2-40B4-BE49-F238E27FC236}">
              <a16:creationId xmlns:a16="http://schemas.microsoft.com/office/drawing/2014/main" id="{BEAE4472-3335-9F5E-929D-0329FBFF5C8E}"/>
            </a:ext>
          </a:extLst>
        </xdr:cNvPr>
        <xdr:cNvSpPr txBox="1"/>
      </xdr:nvSpPr>
      <xdr:spPr>
        <a:xfrm>
          <a:off x="3442771" y="321325"/>
          <a:ext cx="10006988" cy="566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4000">
              <a:solidFill>
                <a:schemeClr val="bg1"/>
              </a:solidFill>
            </a:rPr>
            <a:t>Reporte Ejecutivo de Ingresos Veterinarios</a:t>
          </a:r>
        </a:p>
        <a:p>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865.442227199077" createdVersion="8" refreshedVersion="8" minRefreshableVersion="3" recordCount="151" xr:uid="{A26D882F-407D-F64D-BB94-74E9118798AC}">
  <cacheSource type="worksheet">
    <worksheetSource ref="A1:L1048576" sheet="Data"/>
  </cacheSource>
  <cacheFields count="14">
    <cacheField name="Fecha del servicio" numFmtId="0">
      <sharedItems containsNonDate="0" containsDate="1" containsString="0" containsBlank="1" minDate="2024-01-06T00:00:00" maxDate="2024-12-04T00:00:00" count="123">
        <d v="2024-04-05T00:00:00"/>
        <d v="2024-08-31T00:00:00"/>
        <d v="2024-06-28T00:00:00"/>
        <d v="2024-04-28T00:00:00"/>
        <d v="2024-04-25T00:00:00"/>
        <d v="2024-04-03T00:00:00"/>
        <d v="2024-05-06T00:00:00"/>
        <d v="2024-01-11T00:00:00"/>
        <d v="2024-10-19T00:00:00"/>
        <d v="2024-10-03T00:00:00"/>
        <d v="2024-04-29T00:00:00"/>
        <d v="2024-05-29T00:00:00"/>
        <d v="2024-05-09T00:00:00"/>
        <d v="2024-03-07T00:00:00"/>
        <d v="2024-01-06T00:00:00"/>
        <d v="2024-09-15T00:00:00"/>
        <d v="2024-05-28T00:00:00"/>
        <d v="2024-07-12T00:00:00"/>
        <d v="2024-05-17T00:00:00"/>
        <d v="2024-08-02T00:00:00"/>
        <d v="2024-02-03T00:00:00"/>
        <d v="2024-03-20T00:00:00"/>
        <d v="2024-05-04T00:00:00"/>
        <d v="2024-07-22T00:00:00"/>
        <d v="2024-05-19T00:00:00"/>
        <d v="2024-05-23T00:00:00"/>
        <d v="2024-03-02T00:00:00"/>
        <d v="2024-09-24T00:00:00"/>
        <d v="2024-06-29T00:00:00"/>
        <d v="2024-08-30T00:00:00"/>
        <d v="2024-11-05T00:00:00"/>
        <d v="2024-10-23T00:00:00"/>
        <d v="2024-07-13T00:00:00"/>
        <d v="2024-02-28T00:00:00"/>
        <d v="2024-03-27T00:00:00"/>
        <d v="2024-05-21T00:00:00"/>
        <d v="2024-06-19T00:00:00"/>
        <d v="2024-11-26T00:00:00"/>
        <d v="2024-06-24T00:00:00"/>
        <d v="2024-02-22T00:00:00"/>
        <d v="2024-08-18T00:00:00"/>
        <d v="2024-02-29T00:00:00"/>
        <d v="2024-10-21T00:00:00"/>
        <d v="2024-03-28T00:00:00"/>
        <d v="2024-03-16T00:00:00"/>
        <d v="2024-09-09T00:00:00"/>
        <d v="2024-03-13T00:00:00"/>
        <d v="2024-02-25T00:00:00"/>
        <d v="2024-11-25T00:00:00"/>
        <d v="2024-04-11T00:00:00"/>
        <d v="2024-08-26T00:00:00"/>
        <d v="2024-11-29T00:00:00"/>
        <d v="2024-01-27T00:00:00"/>
        <d v="2024-06-06T00:00:00"/>
        <d v="2024-11-10T00:00:00"/>
        <d v="2024-05-12T00:00:00"/>
        <d v="2024-12-03T00:00:00"/>
        <d v="2024-05-10T00:00:00"/>
        <d v="2024-07-31T00:00:00"/>
        <d v="2024-07-21T00:00:00"/>
        <d v="2024-05-02T00:00:00"/>
        <d v="2024-01-08T00:00:00"/>
        <d v="2024-07-08T00:00:00"/>
        <d v="2024-03-08T00:00:00"/>
        <d v="2024-03-25T00:00:00"/>
        <d v="2024-03-09T00:00:00"/>
        <d v="2024-06-21T00:00:00"/>
        <d v="2024-10-31T00:00:00"/>
        <d v="2024-01-14T00:00:00"/>
        <d v="2024-06-16T00:00:00"/>
        <d v="2024-08-27T00:00:00"/>
        <d v="2024-09-29T00:00:00"/>
        <d v="2024-11-06T00:00:00"/>
        <d v="2024-08-07T00:00:00"/>
        <d v="2024-07-28T00:00:00"/>
        <d v="2024-11-03T00:00:00"/>
        <d v="2024-09-12T00:00:00"/>
        <d v="2024-02-12T00:00:00"/>
        <d v="2024-09-10T00:00:00"/>
        <d v="2024-03-05T00:00:00"/>
        <d v="2024-06-02T00:00:00"/>
        <d v="2024-06-18T00:00:00"/>
        <d v="2024-11-08T00:00:00"/>
        <d v="2024-01-26T00:00:00"/>
        <d v="2024-08-10T00:00:00"/>
        <d v="2024-03-29T00:00:00"/>
        <d v="2024-03-11T00:00:00"/>
        <d v="2024-09-06T00:00:00"/>
        <d v="2024-09-21T00:00:00"/>
        <d v="2024-04-07T00:00:00"/>
        <d v="2024-06-07T00:00:00"/>
        <d v="2024-09-05T00:00:00"/>
        <d v="2024-03-03T00:00:00"/>
        <d v="2024-01-18T00:00:00"/>
        <d v="2024-05-16T00:00:00"/>
        <d v="2024-01-17T00:00:00"/>
        <d v="2024-10-18T00:00:00"/>
        <d v="2024-01-12T00:00:00"/>
        <d v="2024-09-20T00:00:00"/>
        <d v="2024-09-28T00:00:00"/>
        <d v="2024-09-27T00:00:00"/>
        <d v="2024-07-04T00:00:00"/>
        <d v="2024-05-07T00:00:00"/>
        <d v="2024-08-01T00:00:00"/>
        <d v="2024-03-10T00:00:00"/>
        <d v="2024-10-30T00:00:00"/>
        <d v="2024-05-13T00:00:00"/>
        <d v="2024-02-17T00:00:00"/>
        <d v="2024-11-12T00:00:00"/>
        <d v="2024-02-18T00:00:00"/>
        <d v="2024-06-13T00:00:00"/>
        <d v="2024-05-18T00:00:00"/>
        <d v="2024-05-20T00:00:00"/>
        <d v="2024-06-05T00:00:00"/>
        <d v="2024-11-02T00:00:00"/>
        <d v="2024-07-16T00:00:00"/>
        <d v="2024-11-17T00:00:00"/>
        <d v="2024-08-20T00:00:00"/>
        <d v="2024-04-06T00:00:00"/>
        <d v="2024-04-22T00:00:00"/>
        <d v="2024-04-17T00:00:00"/>
        <d v="2024-11-07T00:00:00"/>
        <m/>
      </sharedItems>
      <fieldGroup par="13"/>
    </cacheField>
    <cacheField name="Nombre cliente" numFmtId="0">
      <sharedItems containsBlank="1" count="151">
        <s v="Shannon Copeland"/>
        <s v="Laura Scott"/>
        <s v="Dr. Kimberly Larson"/>
        <s v="David Fletcher"/>
        <s v="Steven Gonzalez"/>
        <s v="Brandon Myers"/>
        <s v="Jerry Johnson"/>
        <s v="Christine Perry"/>
        <s v="Sierra Miller"/>
        <s v="Laura Kidd"/>
        <s v="Scott Smith"/>
        <s v="Michelle Richardson"/>
        <s v="Lisa Garcia"/>
        <s v="Allison Skinner"/>
        <s v="Sandy Campbell"/>
        <s v="John Petersen"/>
        <s v="Brooke Allen"/>
        <s v="Carrie Krueger"/>
        <s v="Jamie Austin"/>
        <s v="Kevin Rodriguez"/>
        <s v="Nathaniel Norton"/>
        <s v="Todd Snow"/>
        <s v="Larry Gomez"/>
        <s v="Veronica Lopez"/>
        <s v="Rhonda Collins"/>
        <s v="Margaret Brown"/>
        <s v="Christian Bell"/>
        <s v="Paul Williams"/>
        <s v="Karen Carpenter"/>
        <s v="Tom Mcintosh"/>
        <s v="Ryan Pugh"/>
        <s v="Mary Holmes"/>
        <s v="Angela Woodward"/>
        <s v="Patrick Rhodes"/>
        <s v="James White"/>
        <s v="John Perkins"/>
        <s v="Timothy Mckinney"/>
        <s v="Brian Jones"/>
        <s v="Patricia Herman"/>
        <s v="Brianna Torres"/>
        <s v="Amy Phillips"/>
        <s v="Sharon Davis"/>
        <s v="Jessica Clark"/>
        <s v="Kayla Boyer"/>
        <s v="Mrs. Michelle Lewis"/>
        <s v="Alexandria Jackson"/>
        <s v="Margaret Robinson"/>
        <s v="John Shah"/>
        <s v="Angela Ramirez"/>
        <s v="Valerie Martinez"/>
        <s v="Lisa Lane"/>
        <s v="Jake Terry"/>
        <s v="Tamara White"/>
        <s v="Dennis Guerra"/>
        <s v="April Douglas"/>
        <s v="Ross Curtis"/>
        <s v="James West"/>
        <s v="Charles Garcia"/>
        <s v="Jennifer Watson"/>
        <s v="Jason Allen"/>
        <s v="Jason Jones"/>
        <s v="Daniel Melton"/>
        <s v="Eric Bass"/>
        <s v="Tyler Salinas"/>
        <s v="Jane Campbell"/>
        <s v="Angela Stevenson"/>
        <s v="Michael Crawford"/>
        <s v="Andrew Kim"/>
        <s v="Nathan Winters"/>
        <s v="Ms. Dawn King"/>
        <s v="Katie Jacobs"/>
        <s v="Nicholas Bradley"/>
        <s v="Hailey Torres"/>
        <s v="Andrew Gentry"/>
        <s v="James Murillo"/>
        <s v="Collin Brown"/>
        <s v="Darlene Delacruz"/>
        <s v="Betty George"/>
        <s v="John Russo"/>
        <s v="Patrick Green"/>
        <s v="Marcus Allen"/>
        <s v="Taylor Trevino"/>
        <s v="Jason King"/>
        <s v="Morgan Carroll"/>
        <s v="Dennis Kramer"/>
        <s v="Michael Peterson"/>
        <s v="Brandi Curry MD"/>
        <s v="Alexandra Patrick"/>
        <s v="Monica Smith"/>
        <s v="Kristine Williams"/>
        <s v="Thomas Ruiz"/>
        <s v="Steven Tran"/>
        <s v="Mary Cobb"/>
        <s v="Jerry Parker"/>
        <s v="Susan Skinner"/>
        <s v="Nicole Gilbert"/>
        <s v="Jill Page"/>
        <s v="Cody Snyder DVM"/>
        <s v="Amanda Tran MD"/>
        <s v="Mary Hurley"/>
        <s v="Kelly Hall"/>
        <s v="Kenneth Cooper"/>
        <s v="Megan Lang"/>
        <s v="Jacob Cox"/>
        <s v="Oscar Wagner"/>
        <s v="Paige Parker"/>
        <s v="Daniel Lane"/>
        <s v="Taylor Diaz"/>
        <s v="Matthew Wang"/>
        <s v="Rebecca Reynolds"/>
        <s v="Derrick Smith"/>
        <s v="Kara Mullins"/>
        <s v="Jesse Knight"/>
        <s v="Michael Henson"/>
        <s v="Michelle Gonzalez"/>
        <s v="Michael Phillips"/>
        <s v="Robert Fisher"/>
        <s v="Yolanda Jones"/>
        <s v="Sheryl Garner"/>
        <s v="Juan Gonzalez"/>
        <s v="Sarah Clark"/>
        <s v="Joseph White"/>
        <s v="Lori Smith"/>
        <s v="Michelle Dixon"/>
        <s v="Sarah Miller"/>
        <s v="Rhonda Wall"/>
        <s v="Stephanie Cunningham"/>
        <s v="Dana Flores"/>
        <s v="April Wise"/>
        <s v="Rhonda Baldwin"/>
        <s v="Dylan Hill"/>
        <s v="Scott Thomas"/>
        <s v="Jared Frazier"/>
        <s v="Stephanie Johnson"/>
        <s v="Nathaniel Pace"/>
        <s v="James Brown"/>
        <s v="Danielle Miller"/>
        <s v="Sara Schneider"/>
        <s v="Amy Jones"/>
        <s v="Eric Lee"/>
        <s v="Samantha Mckinney"/>
        <s v="Lisa Johnson"/>
        <s v="Rebecca Olson"/>
        <s v="Barbara Travis"/>
        <s v="Monica Flores"/>
        <s v="Matthew Alvarado DDS"/>
        <s v="John Ross"/>
        <s v="Andrew Wells"/>
        <s v="Andrea Griffin"/>
        <s v="Rita Hubbard"/>
        <m/>
      </sharedItems>
    </cacheField>
    <cacheField name="Animal" numFmtId="0">
      <sharedItems containsBlank="1" count="6">
        <s v="Perro"/>
        <s v="Gato"/>
        <s v="Ave"/>
        <s v="Conejo"/>
        <s v="Hámster"/>
        <m/>
      </sharedItems>
    </cacheField>
    <cacheField name="Raza mascota" numFmtId="0">
      <sharedItems containsBlank="1"/>
    </cacheField>
    <cacheField name="Nombre paciente" numFmtId="0">
      <sharedItems containsBlank="1"/>
    </cacheField>
    <cacheField name="Esterilizado?" numFmtId="0">
      <sharedItems containsBlank="1" count="3">
        <s v="Sí­"/>
        <s v="No"/>
        <m/>
      </sharedItems>
    </cacheField>
    <cacheField name="Servicio recibido" numFmtId="0">
      <sharedItems containsBlank="1" count="6">
        <s v="Esterilización"/>
        <s v="Emergencia"/>
        <s v="Vacunación"/>
        <s v="Control de peso"/>
        <s v="Consulta general"/>
        <m/>
      </sharedItems>
    </cacheField>
    <cacheField name="Monto pagado" numFmtId="0">
      <sharedItems containsString="0" containsBlank="1" containsNumber="1" containsInteger="1" minValue="20301" maxValue="199374"/>
    </cacheField>
    <cacheField name="Medico Veterinario que atendió" numFmtId="0">
      <sharedItems containsBlank="1" count="6">
        <s v="Dr. Simmons"/>
        <s v="Dr. Conley"/>
        <s v="Dr. Price"/>
        <s v="Dr. Mullins"/>
        <s v="Dr. Harvey"/>
        <m/>
      </sharedItems>
    </cacheField>
    <cacheField name="Diagnóstico" numFmtId="0">
      <sharedItems containsBlank="1"/>
    </cacheField>
    <cacheField name="Tratamiento" numFmtId="0">
      <sharedItems containsBlank="1"/>
    </cacheField>
    <cacheField name="Region" numFmtId="0">
      <sharedItems containsBlank="1" count="11">
        <s v="New York"/>
        <s v="Maryland"/>
        <s v="Connecticut"/>
        <s v="Pennsylvania"/>
        <s v="Rhode Island"/>
        <s v="Vermont"/>
        <s v="New Jersey"/>
        <s v="Massachusetts"/>
        <s v="Delaware"/>
        <s v="New Hampshire"/>
        <m/>
      </sharedItems>
    </cacheField>
    <cacheField name="Days (Fecha del servicio)" numFmtId="0" databaseField="0">
      <fieldGroup base="0">
        <rangePr groupBy="days" startDate="2024-01-06T00:00:00" endDate="2024-12-04T00:00:00"/>
        <groupItems count="368">
          <s v="&lt;1/6/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4/24"/>
        </groupItems>
      </fieldGroup>
    </cacheField>
    <cacheField name="Months (Fecha del servicio)" numFmtId="0" databaseField="0">
      <fieldGroup base="0">
        <rangePr groupBy="months" startDate="2024-01-06T00:00:00" endDate="2024-12-04T00:00:00"/>
        <groupItems count="14">
          <s v="&lt;1/6/24"/>
          <s v="Jan"/>
          <s v="Feb"/>
          <s v="Mar"/>
          <s v="Apr"/>
          <s v="May"/>
          <s v="Jun"/>
          <s v="Jul"/>
          <s v="Aug"/>
          <s v="Sep"/>
          <s v="Oct"/>
          <s v="Nov"/>
          <s v="Dec"/>
          <s v="&gt;12/4/24"/>
        </groupItems>
      </fieldGroup>
    </cacheField>
  </cacheFields>
  <extLst>
    <ext xmlns:x14="http://schemas.microsoft.com/office/spreadsheetml/2009/9/main" uri="{725AE2AE-9491-48be-B2B4-4EB974FC3084}">
      <x14:pivotCacheDefinition pivotCacheId="20047387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1">
  <r>
    <x v="0"/>
    <x v="0"/>
    <x v="0"/>
    <s v="PowderBlue"/>
    <s v="Alyssa"/>
    <x v="0"/>
    <x v="0"/>
    <n v="84196"/>
    <x v="0"/>
    <s v="Infección urinaria"/>
    <s v="Rehabilitación"/>
    <x v="0"/>
  </r>
  <r>
    <x v="1"/>
    <x v="1"/>
    <x v="0"/>
    <s v="Wheat"/>
    <s v="Amy"/>
    <x v="0"/>
    <x v="1"/>
    <n v="130604"/>
    <x v="1"/>
    <s v="Gastroenteritis"/>
    <s v="Antibióticos"/>
    <x v="1"/>
  </r>
  <r>
    <x v="2"/>
    <x v="2"/>
    <x v="1"/>
    <s v="GoldenRod"/>
    <s v="Christopher"/>
    <x v="0"/>
    <x v="1"/>
    <n v="177815"/>
    <x v="1"/>
    <s v="Desnutrición"/>
    <s v="Cirugía menor"/>
    <x v="2"/>
  </r>
  <r>
    <x v="3"/>
    <x v="3"/>
    <x v="2"/>
    <s v="Automated homogeneous success"/>
    <s v="Sergio"/>
    <x v="1"/>
    <x v="2"/>
    <n v="137757"/>
    <x v="2"/>
    <s v="Otitis"/>
    <s v="Antibióticos"/>
    <x v="3"/>
  </r>
  <r>
    <x v="4"/>
    <x v="4"/>
    <x v="1"/>
    <s v="LightYellow"/>
    <s v="Bridget"/>
    <x v="1"/>
    <x v="0"/>
    <n v="92842"/>
    <x v="0"/>
    <s v="Infección urinaria"/>
    <s v="Vitaminas"/>
    <x v="3"/>
  </r>
  <r>
    <x v="5"/>
    <x v="5"/>
    <x v="0"/>
    <s v="Purple"/>
    <s v="Donna"/>
    <x v="0"/>
    <x v="3"/>
    <n v="45353"/>
    <x v="3"/>
    <s v="Otitis"/>
    <s v="Vendaje"/>
    <x v="4"/>
  </r>
  <r>
    <x v="6"/>
    <x v="6"/>
    <x v="3"/>
    <s v="Azure"/>
    <s v="Holly"/>
    <x v="0"/>
    <x v="3"/>
    <n v="160568"/>
    <x v="1"/>
    <s v="Fractura"/>
    <s v="Antibióticos"/>
    <x v="5"/>
  </r>
  <r>
    <x v="7"/>
    <x v="7"/>
    <x v="2"/>
    <s v="Open-architected composite open system"/>
    <s v="Alexis"/>
    <x v="1"/>
    <x v="1"/>
    <n v="114800"/>
    <x v="2"/>
    <s v="Infección urinaria"/>
    <s v="Rehabilitación"/>
    <x v="3"/>
  </r>
  <r>
    <x v="8"/>
    <x v="8"/>
    <x v="0"/>
    <s v="LightSteelBlue"/>
    <s v="Yvonne"/>
    <x v="0"/>
    <x v="2"/>
    <n v="95861"/>
    <x v="1"/>
    <s v="Infección urinaria"/>
    <s v="Antibióticos"/>
    <x v="6"/>
  </r>
  <r>
    <x v="9"/>
    <x v="9"/>
    <x v="4"/>
    <s v="Tomato"/>
    <s v="Patricia"/>
    <x v="1"/>
    <x v="3"/>
    <n v="186640"/>
    <x v="3"/>
    <s v="Infección urinaria"/>
    <s v="Vitaminas"/>
    <x v="0"/>
  </r>
  <r>
    <x v="10"/>
    <x v="10"/>
    <x v="3"/>
    <s v="OldLace"/>
    <s v="Jennifer"/>
    <x v="0"/>
    <x v="0"/>
    <n v="199187"/>
    <x v="1"/>
    <s v="Desnutrición"/>
    <s v="Rehabilitación"/>
    <x v="7"/>
  </r>
  <r>
    <x v="11"/>
    <x v="11"/>
    <x v="1"/>
    <s v="PapayaWhip"/>
    <s v="Jennifer"/>
    <x v="0"/>
    <x v="2"/>
    <n v="141178"/>
    <x v="4"/>
    <s v="Otitis"/>
    <s v="Rehabilitación"/>
    <x v="2"/>
  </r>
  <r>
    <x v="12"/>
    <x v="12"/>
    <x v="2"/>
    <s v="Configurable regional knowledgebase"/>
    <s v="Amy"/>
    <x v="0"/>
    <x v="0"/>
    <n v="34663"/>
    <x v="0"/>
    <s v="Gastroenteritis"/>
    <s v="Vitaminas"/>
    <x v="8"/>
  </r>
  <r>
    <x v="13"/>
    <x v="13"/>
    <x v="4"/>
    <s v="PaleGoldenRod"/>
    <s v="Mary"/>
    <x v="1"/>
    <x v="4"/>
    <n v="75307"/>
    <x v="2"/>
    <s v="Anemia"/>
    <s v="Vitaminas"/>
    <x v="2"/>
  </r>
  <r>
    <x v="14"/>
    <x v="14"/>
    <x v="1"/>
    <s v="Silver"/>
    <s v="Jo"/>
    <x v="1"/>
    <x v="3"/>
    <n v="188519"/>
    <x v="4"/>
    <s v="Infección urinaria"/>
    <s v="Vitaminas"/>
    <x v="4"/>
  </r>
  <r>
    <x v="15"/>
    <x v="15"/>
    <x v="1"/>
    <s v="PaleGoldenRod"/>
    <s v="Elizabeth"/>
    <x v="0"/>
    <x v="1"/>
    <n v="161289"/>
    <x v="3"/>
    <s v="Anemia"/>
    <s v="Vendaje"/>
    <x v="9"/>
  </r>
  <r>
    <x v="16"/>
    <x v="16"/>
    <x v="4"/>
    <s v="MediumPurple"/>
    <s v="Kristina"/>
    <x v="1"/>
    <x v="0"/>
    <n v="77493"/>
    <x v="0"/>
    <s v="Desnutrición"/>
    <s v="Cambio de dieta"/>
    <x v="3"/>
  </r>
  <r>
    <x v="17"/>
    <x v="17"/>
    <x v="0"/>
    <s v="YellowGreen"/>
    <s v="Robert"/>
    <x v="0"/>
    <x v="4"/>
    <n v="60066"/>
    <x v="0"/>
    <s v="Anemia"/>
    <s v="Cambio de dieta"/>
    <x v="6"/>
  </r>
  <r>
    <x v="18"/>
    <x v="18"/>
    <x v="2"/>
    <s v="Open-source value-added core"/>
    <s v="Samantha"/>
    <x v="0"/>
    <x v="3"/>
    <n v="120039"/>
    <x v="2"/>
    <s v="Fractura"/>
    <s v="Vendaje"/>
    <x v="5"/>
  </r>
  <r>
    <x v="13"/>
    <x v="19"/>
    <x v="3"/>
    <s v="MediumBlue"/>
    <s v="Gabriel"/>
    <x v="0"/>
    <x v="4"/>
    <n v="198706"/>
    <x v="2"/>
    <s v="Otitis"/>
    <s v="Rehabilitación"/>
    <x v="4"/>
  </r>
  <r>
    <x v="19"/>
    <x v="20"/>
    <x v="3"/>
    <s v="FireBrick"/>
    <s v="Brittney"/>
    <x v="0"/>
    <x v="0"/>
    <n v="133971"/>
    <x v="0"/>
    <s v="Fractura"/>
    <s v="Antibióticos"/>
    <x v="7"/>
  </r>
  <r>
    <x v="20"/>
    <x v="21"/>
    <x v="3"/>
    <s v="Blue"/>
    <s v="Daniel"/>
    <x v="0"/>
    <x v="1"/>
    <n v="47894"/>
    <x v="3"/>
    <s v="Anemia"/>
    <s v="Vendaje"/>
    <x v="3"/>
  </r>
  <r>
    <x v="21"/>
    <x v="22"/>
    <x v="2"/>
    <s v="Cloned tertiary intranet"/>
    <s v="Christian"/>
    <x v="0"/>
    <x v="2"/>
    <n v="118019"/>
    <x v="0"/>
    <s v="Desnutrición"/>
    <s v="Vendaje"/>
    <x v="9"/>
  </r>
  <r>
    <x v="22"/>
    <x v="23"/>
    <x v="0"/>
    <s v="MediumBlue"/>
    <s v="Valerie"/>
    <x v="1"/>
    <x v="3"/>
    <n v="25105"/>
    <x v="1"/>
    <s v="Otitis"/>
    <s v="Vitaminas"/>
    <x v="8"/>
  </r>
  <r>
    <x v="23"/>
    <x v="24"/>
    <x v="1"/>
    <s v="Navy"/>
    <s v="Samantha"/>
    <x v="0"/>
    <x v="2"/>
    <n v="168729"/>
    <x v="1"/>
    <s v="Gastroenteritis"/>
    <s v="Rehabilitación"/>
    <x v="8"/>
  </r>
  <r>
    <x v="24"/>
    <x v="25"/>
    <x v="4"/>
    <s v="LightPink"/>
    <s v="Bradley"/>
    <x v="0"/>
    <x v="1"/>
    <n v="52967"/>
    <x v="0"/>
    <s v="Anemia"/>
    <s v="Cambio de dieta"/>
    <x v="1"/>
  </r>
  <r>
    <x v="25"/>
    <x v="26"/>
    <x v="2"/>
    <s v="Versatile analyzing software"/>
    <s v="Kimberly"/>
    <x v="0"/>
    <x v="0"/>
    <n v="158326"/>
    <x v="2"/>
    <s v="Fractura"/>
    <s v="Cirugía menor"/>
    <x v="9"/>
  </r>
  <r>
    <x v="3"/>
    <x v="27"/>
    <x v="2"/>
    <s v="Persevering discrete open architecture"/>
    <s v="Jessica"/>
    <x v="0"/>
    <x v="0"/>
    <n v="124593"/>
    <x v="3"/>
    <s v="Fractura"/>
    <s v="Vendaje"/>
    <x v="7"/>
  </r>
  <r>
    <x v="5"/>
    <x v="28"/>
    <x v="4"/>
    <s v="LightSteelBlue"/>
    <s v="Kerri"/>
    <x v="0"/>
    <x v="2"/>
    <n v="78903"/>
    <x v="1"/>
    <s v="Otitis"/>
    <s v="Antibióticos"/>
    <x v="2"/>
  </r>
  <r>
    <x v="26"/>
    <x v="29"/>
    <x v="2"/>
    <s v="User-friendly bandwidth-monitored database"/>
    <s v="Sheri"/>
    <x v="0"/>
    <x v="1"/>
    <n v="77728"/>
    <x v="1"/>
    <s v="Gastroenteritis"/>
    <s v="Rehabilitación"/>
    <x v="7"/>
  </r>
  <r>
    <x v="27"/>
    <x v="30"/>
    <x v="0"/>
    <s v="Blue"/>
    <s v="Susan"/>
    <x v="0"/>
    <x v="4"/>
    <n v="28234"/>
    <x v="3"/>
    <s v="Gastroenteritis"/>
    <s v="Vendaje"/>
    <x v="6"/>
  </r>
  <r>
    <x v="28"/>
    <x v="31"/>
    <x v="1"/>
    <s v="SkyBlue"/>
    <s v="Julie"/>
    <x v="1"/>
    <x v="3"/>
    <n v="76160"/>
    <x v="2"/>
    <s v="Infección urinaria"/>
    <s v="Rehabilitación"/>
    <x v="0"/>
  </r>
  <r>
    <x v="29"/>
    <x v="32"/>
    <x v="2"/>
    <s v="Horizontal well-modulated hardware"/>
    <s v="William"/>
    <x v="1"/>
    <x v="2"/>
    <n v="143987"/>
    <x v="4"/>
    <s v="Infección urinaria"/>
    <s v="Antibióticos"/>
    <x v="2"/>
  </r>
  <r>
    <x v="30"/>
    <x v="33"/>
    <x v="0"/>
    <s v="Aquamarine"/>
    <s v="Katherine"/>
    <x v="1"/>
    <x v="0"/>
    <n v="131038"/>
    <x v="4"/>
    <s v="Fractura"/>
    <s v="Rehabilitación"/>
    <x v="6"/>
  </r>
  <r>
    <x v="31"/>
    <x v="34"/>
    <x v="0"/>
    <s v="PowderBlue"/>
    <s v="Frank"/>
    <x v="0"/>
    <x v="4"/>
    <n v="125544"/>
    <x v="3"/>
    <s v="Gastroenteritis"/>
    <s v="Cirugía menor"/>
    <x v="5"/>
  </r>
  <r>
    <x v="32"/>
    <x v="35"/>
    <x v="1"/>
    <s v="Orange"/>
    <s v="John"/>
    <x v="0"/>
    <x v="1"/>
    <n v="137601"/>
    <x v="0"/>
    <s v="Fractura"/>
    <s v="Cirugía menor"/>
    <x v="1"/>
  </r>
  <r>
    <x v="33"/>
    <x v="36"/>
    <x v="3"/>
    <s v="SaddleBrown"/>
    <s v="Paul"/>
    <x v="1"/>
    <x v="2"/>
    <n v="39761"/>
    <x v="4"/>
    <s v="Desnutrición"/>
    <s v="Antibióticos"/>
    <x v="3"/>
  </r>
  <r>
    <x v="34"/>
    <x v="37"/>
    <x v="0"/>
    <s v="Lavender"/>
    <s v="Elizabeth"/>
    <x v="0"/>
    <x v="4"/>
    <n v="81965"/>
    <x v="0"/>
    <s v="Fractura"/>
    <s v="Cambio de dieta"/>
    <x v="2"/>
  </r>
  <r>
    <x v="35"/>
    <x v="38"/>
    <x v="4"/>
    <s v="Aquamarine"/>
    <s v="Katherine"/>
    <x v="0"/>
    <x v="3"/>
    <n v="35370"/>
    <x v="0"/>
    <s v="Fractura"/>
    <s v="Antibióticos"/>
    <x v="4"/>
  </r>
  <r>
    <x v="36"/>
    <x v="39"/>
    <x v="4"/>
    <s v="MediumTurquoise"/>
    <s v="Regina"/>
    <x v="1"/>
    <x v="3"/>
    <n v="94776"/>
    <x v="4"/>
    <s v="Anemia"/>
    <s v="Rehabilitación"/>
    <x v="9"/>
  </r>
  <r>
    <x v="29"/>
    <x v="40"/>
    <x v="2"/>
    <s v="Multi-lateral tangible protocol"/>
    <s v="Reginald"/>
    <x v="1"/>
    <x v="2"/>
    <n v="69780"/>
    <x v="3"/>
    <s v="Infección urinaria"/>
    <s v="Antibióticos"/>
    <x v="9"/>
  </r>
  <r>
    <x v="4"/>
    <x v="41"/>
    <x v="2"/>
    <s v="Quality-focused cohesive artificial intelligence"/>
    <s v="James"/>
    <x v="0"/>
    <x v="0"/>
    <n v="34985"/>
    <x v="1"/>
    <s v="Desnutrición"/>
    <s v="Cambio de dieta"/>
    <x v="7"/>
  </r>
  <r>
    <x v="37"/>
    <x v="42"/>
    <x v="2"/>
    <s v="Enterprise-wide directional model"/>
    <s v="William"/>
    <x v="0"/>
    <x v="4"/>
    <n v="153124"/>
    <x v="1"/>
    <s v="Infección urinaria"/>
    <s v="Antibióticos"/>
    <x v="8"/>
  </r>
  <r>
    <x v="38"/>
    <x v="43"/>
    <x v="2"/>
    <s v="Versatile homogeneous algorithm"/>
    <s v="Sarah"/>
    <x v="0"/>
    <x v="2"/>
    <n v="125847"/>
    <x v="1"/>
    <s v="Desnutrición"/>
    <s v="Cirugía menor"/>
    <x v="6"/>
  </r>
  <r>
    <x v="39"/>
    <x v="44"/>
    <x v="2"/>
    <s v="Persevering foreground circuit"/>
    <s v="Sandra"/>
    <x v="0"/>
    <x v="1"/>
    <n v="41491"/>
    <x v="4"/>
    <s v="Anemia"/>
    <s v="Vendaje"/>
    <x v="2"/>
  </r>
  <r>
    <x v="40"/>
    <x v="45"/>
    <x v="2"/>
    <s v="Face-to-face reciprocal Local Area Network"/>
    <s v="Charlene"/>
    <x v="1"/>
    <x v="0"/>
    <n v="73545"/>
    <x v="3"/>
    <s v="Infección urinaria"/>
    <s v="Vitaminas"/>
    <x v="1"/>
  </r>
  <r>
    <x v="36"/>
    <x v="46"/>
    <x v="4"/>
    <s v="BlanchedAlmond"/>
    <s v="Dustin"/>
    <x v="0"/>
    <x v="0"/>
    <n v="139858"/>
    <x v="3"/>
    <s v="Gastroenteritis"/>
    <s v="Antibióticos"/>
    <x v="4"/>
  </r>
  <r>
    <x v="41"/>
    <x v="47"/>
    <x v="4"/>
    <s v="SteelBlue"/>
    <s v="Cody"/>
    <x v="0"/>
    <x v="4"/>
    <n v="160937"/>
    <x v="0"/>
    <s v="Desnutrición"/>
    <s v="Vitaminas"/>
    <x v="4"/>
  </r>
  <r>
    <x v="42"/>
    <x v="48"/>
    <x v="1"/>
    <s v="PaleGoldenRod"/>
    <s v="Justin"/>
    <x v="1"/>
    <x v="4"/>
    <n v="84037"/>
    <x v="3"/>
    <s v="Otitis"/>
    <s v="Cirugía menor"/>
    <x v="4"/>
  </r>
  <r>
    <x v="43"/>
    <x v="49"/>
    <x v="4"/>
    <s v="PaleGreen"/>
    <s v="Dawn"/>
    <x v="1"/>
    <x v="1"/>
    <n v="191435"/>
    <x v="2"/>
    <s v="Gastroenteritis"/>
    <s v="Rehabilitación"/>
    <x v="6"/>
  </r>
  <r>
    <x v="44"/>
    <x v="50"/>
    <x v="2"/>
    <s v="Versatile non-volatile database"/>
    <s v="Joseph"/>
    <x v="1"/>
    <x v="4"/>
    <n v="55203"/>
    <x v="3"/>
    <s v="Gastroenteritis"/>
    <s v="Antibióticos"/>
    <x v="6"/>
  </r>
  <r>
    <x v="45"/>
    <x v="51"/>
    <x v="2"/>
    <s v="Integrated heuristic installation"/>
    <s v="Matthew"/>
    <x v="0"/>
    <x v="0"/>
    <n v="93860"/>
    <x v="2"/>
    <s v="Infección urinaria"/>
    <s v="Rehabilitación"/>
    <x v="7"/>
  </r>
  <r>
    <x v="46"/>
    <x v="52"/>
    <x v="3"/>
    <s v="DarkSalmon"/>
    <s v="Daniel"/>
    <x v="0"/>
    <x v="0"/>
    <n v="152489"/>
    <x v="4"/>
    <s v="Otitis"/>
    <s v="Antibióticos"/>
    <x v="9"/>
  </r>
  <r>
    <x v="47"/>
    <x v="53"/>
    <x v="0"/>
    <s v="SlateBlue"/>
    <s v="Alex"/>
    <x v="1"/>
    <x v="0"/>
    <n v="31557"/>
    <x v="1"/>
    <s v="Otitis"/>
    <s v="Cirugía menor"/>
    <x v="6"/>
  </r>
  <r>
    <x v="48"/>
    <x v="54"/>
    <x v="3"/>
    <s v="Gray"/>
    <s v="Scott"/>
    <x v="0"/>
    <x v="3"/>
    <n v="164619"/>
    <x v="4"/>
    <s v="Desnutrición"/>
    <s v="Antibióticos"/>
    <x v="0"/>
  </r>
  <r>
    <x v="40"/>
    <x v="55"/>
    <x v="0"/>
    <s v="MediumSeaGreen"/>
    <s v="Tara"/>
    <x v="0"/>
    <x v="2"/>
    <n v="163023"/>
    <x v="1"/>
    <s v="Otitis"/>
    <s v="Vendaje"/>
    <x v="8"/>
  </r>
  <r>
    <x v="49"/>
    <x v="56"/>
    <x v="2"/>
    <s v="Progressive user-facing concept"/>
    <s v="Claire"/>
    <x v="0"/>
    <x v="3"/>
    <n v="53409"/>
    <x v="1"/>
    <s v="Otitis"/>
    <s v="Vitaminas"/>
    <x v="5"/>
  </r>
  <r>
    <x v="10"/>
    <x v="57"/>
    <x v="0"/>
    <s v="SeaShell"/>
    <s v="Chad"/>
    <x v="1"/>
    <x v="2"/>
    <n v="198799"/>
    <x v="0"/>
    <s v="Anemia"/>
    <s v="Antibióticos"/>
    <x v="2"/>
  </r>
  <r>
    <x v="4"/>
    <x v="58"/>
    <x v="3"/>
    <s v="Crimson"/>
    <s v="Jared"/>
    <x v="1"/>
    <x v="1"/>
    <n v="60515"/>
    <x v="0"/>
    <s v="Infección urinaria"/>
    <s v="Cirugía menor"/>
    <x v="9"/>
  </r>
  <r>
    <x v="4"/>
    <x v="59"/>
    <x v="4"/>
    <s v="Sienna"/>
    <s v="Ashley"/>
    <x v="0"/>
    <x v="2"/>
    <n v="107080"/>
    <x v="4"/>
    <s v="Anemia"/>
    <s v="Rehabilitación"/>
    <x v="1"/>
  </r>
  <r>
    <x v="50"/>
    <x v="60"/>
    <x v="1"/>
    <s v="SandyBrown"/>
    <s v="Ashley"/>
    <x v="1"/>
    <x v="2"/>
    <n v="48336"/>
    <x v="4"/>
    <s v="Gastroenteritis"/>
    <s v="Cambio de dieta"/>
    <x v="6"/>
  </r>
  <r>
    <x v="51"/>
    <x v="61"/>
    <x v="1"/>
    <s v="OrangeRed"/>
    <s v="Jasmine"/>
    <x v="0"/>
    <x v="3"/>
    <n v="111660"/>
    <x v="3"/>
    <s v="Infección urinaria"/>
    <s v="Cirugía menor"/>
    <x v="8"/>
  </r>
  <r>
    <x v="52"/>
    <x v="62"/>
    <x v="0"/>
    <s v="MediumSeaGreen"/>
    <s v="Matthew"/>
    <x v="0"/>
    <x v="3"/>
    <n v="106051"/>
    <x v="3"/>
    <s v="Gastroenteritis"/>
    <s v="Vitaminas"/>
    <x v="0"/>
  </r>
  <r>
    <x v="0"/>
    <x v="63"/>
    <x v="3"/>
    <s v="DarkGreen"/>
    <s v="Cody"/>
    <x v="1"/>
    <x v="1"/>
    <n v="106808"/>
    <x v="1"/>
    <s v="Gastroenteritis"/>
    <s v="Vitaminas"/>
    <x v="5"/>
  </r>
  <r>
    <x v="53"/>
    <x v="64"/>
    <x v="1"/>
    <s v="MediumVioletRed"/>
    <s v="Brett"/>
    <x v="1"/>
    <x v="4"/>
    <n v="48417"/>
    <x v="2"/>
    <s v="Fractura"/>
    <s v="Vitaminas"/>
    <x v="7"/>
  </r>
  <r>
    <x v="45"/>
    <x v="65"/>
    <x v="3"/>
    <s v="Tomato"/>
    <s v="Chase"/>
    <x v="1"/>
    <x v="1"/>
    <n v="154066"/>
    <x v="1"/>
    <s v="Fractura"/>
    <s v="Vendaje"/>
    <x v="5"/>
  </r>
  <r>
    <x v="54"/>
    <x v="66"/>
    <x v="1"/>
    <s v="DeepSkyBlue"/>
    <s v="Nancy"/>
    <x v="1"/>
    <x v="4"/>
    <n v="134309"/>
    <x v="1"/>
    <s v="Desnutrición"/>
    <s v="Vendaje"/>
    <x v="3"/>
  </r>
  <r>
    <x v="55"/>
    <x v="67"/>
    <x v="1"/>
    <s v="FloralWhite"/>
    <s v="Kelly"/>
    <x v="1"/>
    <x v="3"/>
    <n v="38343"/>
    <x v="3"/>
    <s v="Desnutrición"/>
    <s v="Vitaminas"/>
    <x v="5"/>
  </r>
  <r>
    <x v="6"/>
    <x v="68"/>
    <x v="0"/>
    <s v="FireBrick"/>
    <s v="James"/>
    <x v="1"/>
    <x v="1"/>
    <n v="101077"/>
    <x v="4"/>
    <s v="Otitis"/>
    <s v="Cambio de dieta"/>
    <x v="6"/>
  </r>
  <r>
    <x v="56"/>
    <x v="69"/>
    <x v="3"/>
    <s v="PapayaWhip"/>
    <s v="Andre"/>
    <x v="0"/>
    <x v="2"/>
    <n v="130217"/>
    <x v="4"/>
    <s v="Anemia"/>
    <s v="Rehabilitación"/>
    <x v="4"/>
  </r>
  <r>
    <x v="57"/>
    <x v="70"/>
    <x v="1"/>
    <s v="DarkSalmon"/>
    <s v="Carmen"/>
    <x v="1"/>
    <x v="3"/>
    <n v="163638"/>
    <x v="1"/>
    <s v="Otitis"/>
    <s v="Vitaminas"/>
    <x v="8"/>
  </r>
  <r>
    <x v="35"/>
    <x v="71"/>
    <x v="1"/>
    <s v="Gold"/>
    <s v="Audrey"/>
    <x v="1"/>
    <x v="1"/>
    <n v="179032"/>
    <x v="3"/>
    <s v="Fractura"/>
    <s v="Cambio de dieta"/>
    <x v="4"/>
  </r>
  <r>
    <x v="58"/>
    <x v="72"/>
    <x v="4"/>
    <s v="DarkCyan"/>
    <s v="Brett"/>
    <x v="0"/>
    <x v="1"/>
    <n v="144042"/>
    <x v="0"/>
    <s v="Anemia"/>
    <s v="Antibióticos"/>
    <x v="3"/>
  </r>
  <r>
    <x v="59"/>
    <x v="73"/>
    <x v="3"/>
    <s v="LightCyan"/>
    <s v="Shane"/>
    <x v="1"/>
    <x v="4"/>
    <n v="81569"/>
    <x v="3"/>
    <s v="Infección urinaria"/>
    <s v="Cirugía menor"/>
    <x v="9"/>
  </r>
  <r>
    <x v="60"/>
    <x v="74"/>
    <x v="1"/>
    <s v="LightGreen"/>
    <s v="Mario"/>
    <x v="0"/>
    <x v="4"/>
    <n v="84184"/>
    <x v="4"/>
    <s v="Desnutrición"/>
    <s v="Antibióticos"/>
    <x v="6"/>
  </r>
  <r>
    <x v="61"/>
    <x v="75"/>
    <x v="4"/>
    <s v="MediumVioletRed"/>
    <s v="Elizabeth"/>
    <x v="1"/>
    <x v="1"/>
    <n v="70970"/>
    <x v="4"/>
    <s v="Fractura"/>
    <s v="Cambio de dieta"/>
    <x v="2"/>
  </r>
  <r>
    <x v="62"/>
    <x v="76"/>
    <x v="1"/>
    <s v="Pink"/>
    <s v="Thomas"/>
    <x v="0"/>
    <x v="4"/>
    <n v="47941"/>
    <x v="4"/>
    <s v="Infección urinaria"/>
    <s v="Cirugía menor"/>
    <x v="4"/>
  </r>
  <r>
    <x v="15"/>
    <x v="77"/>
    <x v="2"/>
    <s v="Customizable solution-oriented protocol"/>
    <s v="Kenneth"/>
    <x v="1"/>
    <x v="4"/>
    <n v="166120"/>
    <x v="0"/>
    <s v="Gastroenteritis"/>
    <s v="Cambio de dieta"/>
    <x v="9"/>
  </r>
  <r>
    <x v="63"/>
    <x v="78"/>
    <x v="1"/>
    <s v="MediumPurple"/>
    <s v="Brian"/>
    <x v="1"/>
    <x v="1"/>
    <n v="166518"/>
    <x v="2"/>
    <s v="Otitis"/>
    <s v="Cambio de dieta"/>
    <x v="2"/>
  </r>
  <r>
    <x v="64"/>
    <x v="79"/>
    <x v="2"/>
    <s v="Multi-layered mobile monitoring"/>
    <s v="Michelle"/>
    <x v="1"/>
    <x v="1"/>
    <n v="136893"/>
    <x v="0"/>
    <s v="Anemia"/>
    <s v="Cambio de dieta"/>
    <x v="4"/>
  </r>
  <r>
    <x v="65"/>
    <x v="80"/>
    <x v="4"/>
    <s v="SkyBlue"/>
    <s v="Ryan"/>
    <x v="1"/>
    <x v="2"/>
    <n v="187159"/>
    <x v="3"/>
    <s v="Desnutrición"/>
    <s v="Cambio de dieta"/>
    <x v="6"/>
  </r>
  <r>
    <x v="66"/>
    <x v="81"/>
    <x v="1"/>
    <s v="Turquoise"/>
    <s v="Adam"/>
    <x v="1"/>
    <x v="3"/>
    <n v="40311"/>
    <x v="3"/>
    <s v="Infección urinaria"/>
    <s v="Vitaminas"/>
    <x v="5"/>
  </r>
  <r>
    <x v="67"/>
    <x v="82"/>
    <x v="3"/>
    <s v="Navy"/>
    <s v="Casey"/>
    <x v="1"/>
    <x v="1"/>
    <n v="41122"/>
    <x v="0"/>
    <s v="Infección urinaria"/>
    <s v="Cirugía menor"/>
    <x v="1"/>
  </r>
  <r>
    <x v="44"/>
    <x v="83"/>
    <x v="4"/>
    <s v="Lavender"/>
    <s v="Alexandra"/>
    <x v="0"/>
    <x v="2"/>
    <n v="36837"/>
    <x v="4"/>
    <s v="Fractura"/>
    <s v="Vitaminas"/>
    <x v="6"/>
  </r>
  <r>
    <x v="1"/>
    <x v="84"/>
    <x v="2"/>
    <s v="Sharable intermediate implementation"/>
    <s v="Ashley"/>
    <x v="1"/>
    <x v="3"/>
    <n v="36322"/>
    <x v="0"/>
    <s v="Fractura"/>
    <s v="Cambio de dieta"/>
    <x v="1"/>
  </r>
  <r>
    <x v="63"/>
    <x v="85"/>
    <x v="2"/>
    <s v="Enterprise-wide multi-state neural-net"/>
    <s v="Karen"/>
    <x v="0"/>
    <x v="1"/>
    <n v="119714"/>
    <x v="4"/>
    <s v="Gastroenteritis"/>
    <s v="Vitaminas"/>
    <x v="9"/>
  </r>
  <r>
    <x v="68"/>
    <x v="86"/>
    <x v="3"/>
    <s v="Bisque"/>
    <s v="Elizabeth"/>
    <x v="1"/>
    <x v="3"/>
    <n v="161091"/>
    <x v="2"/>
    <s v="Desnutrición"/>
    <s v="Cirugía menor"/>
    <x v="3"/>
  </r>
  <r>
    <x v="69"/>
    <x v="87"/>
    <x v="4"/>
    <s v="FloralWhite"/>
    <s v="Shelley"/>
    <x v="0"/>
    <x v="0"/>
    <n v="134251"/>
    <x v="4"/>
    <s v="Gastroenteritis"/>
    <s v="Cambio de dieta"/>
    <x v="4"/>
  </r>
  <r>
    <x v="70"/>
    <x v="88"/>
    <x v="3"/>
    <s v="RosyBrown"/>
    <s v="Rebecca"/>
    <x v="1"/>
    <x v="2"/>
    <n v="142523"/>
    <x v="0"/>
    <s v="Desnutrición"/>
    <s v="Vendaje"/>
    <x v="0"/>
  </r>
  <r>
    <x v="71"/>
    <x v="89"/>
    <x v="0"/>
    <s v="Indigo"/>
    <s v="Travis"/>
    <x v="1"/>
    <x v="1"/>
    <n v="167951"/>
    <x v="1"/>
    <s v="Gastroenteritis"/>
    <s v="Rehabilitación"/>
    <x v="8"/>
  </r>
  <r>
    <x v="0"/>
    <x v="90"/>
    <x v="4"/>
    <s v="DarkTurquoise"/>
    <s v="Jason"/>
    <x v="0"/>
    <x v="3"/>
    <n v="67639"/>
    <x v="1"/>
    <s v="Otitis"/>
    <s v="Cambio de dieta"/>
    <x v="7"/>
  </r>
  <r>
    <x v="72"/>
    <x v="91"/>
    <x v="3"/>
    <s v="DarkTurquoise"/>
    <s v="Tony"/>
    <x v="0"/>
    <x v="3"/>
    <n v="105680"/>
    <x v="3"/>
    <s v="Fractura"/>
    <s v="Vitaminas"/>
    <x v="9"/>
  </r>
  <r>
    <x v="73"/>
    <x v="92"/>
    <x v="4"/>
    <s v="LimeGreen"/>
    <s v="Steven"/>
    <x v="1"/>
    <x v="4"/>
    <n v="143288"/>
    <x v="1"/>
    <s v="Anemia"/>
    <s v="Vendaje"/>
    <x v="7"/>
  </r>
  <r>
    <x v="72"/>
    <x v="93"/>
    <x v="0"/>
    <s v="Beige"/>
    <s v="Krystal"/>
    <x v="1"/>
    <x v="2"/>
    <n v="190431"/>
    <x v="1"/>
    <s v="Anemia"/>
    <s v="Antibióticos"/>
    <x v="6"/>
  </r>
  <r>
    <x v="74"/>
    <x v="94"/>
    <x v="0"/>
    <s v="SeaGreen"/>
    <s v="Alexandra"/>
    <x v="0"/>
    <x v="2"/>
    <n v="25342"/>
    <x v="2"/>
    <s v="Infección urinaria"/>
    <s v="Cirugía menor"/>
    <x v="0"/>
  </r>
  <r>
    <x v="75"/>
    <x v="95"/>
    <x v="1"/>
    <s v="SpringGreen"/>
    <s v="Lynn"/>
    <x v="1"/>
    <x v="4"/>
    <n v="167841"/>
    <x v="0"/>
    <s v="Fractura"/>
    <s v="Rehabilitación"/>
    <x v="7"/>
  </r>
  <r>
    <x v="76"/>
    <x v="96"/>
    <x v="3"/>
    <s v="Gold"/>
    <s v="Joseph"/>
    <x v="1"/>
    <x v="2"/>
    <n v="178831"/>
    <x v="2"/>
    <s v="Anemia"/>
    <s v="Rehabilitación"/>
    <x v="1"/>
  </r>
  <r>
    <x v="77"/>
    <x v="97"/>
    <x v="0"/>
    <s v="DarkSlateBlue"/>
    <s v="Leonard"/>
    <x v="0"/>
    <x v="0"/>
    <n v="48337"/>
    <x v="2"/>
    <s v="Gastroenteritis"/>
    <s v="Vitaminas"/>
    <x v="4"/>
  </r>
  <r>
    <x v="33"/>
    <x v="98"/>
    <x v="2"/>
    <s v="Grass-roots value-added benchmark"/>
    <s v="Denise"/>
    <x v="1"/>
    <x v="3"/>
    <n v="71990"/>
    <x v="1"/>
    <s v="Desnutrición"/>
    <s v="Rehabilitación"/>
    <x v="1"/>
  </r>
  <r>
    <x v="78"/>
    <x v="99"/>
    <x v="1"/>
    <s v="Cornsilk"/>
    <s v="Anthony"/>
    <x v="0"/>
    <x v="0"/>
    <n v="199374"/>
    <x v="2"/>
    <s v="Gastroenteritis"/>
    <s v="Vendaje"/>
    <x v="2"/>
  </r>
  <r>
    <x v="79"/>
    <x v="100"/>
    <x v="0"/>
    <s v="DarkSlateBlue"/>
    <s v="Jennifer"/>
    <x v="1"/>
    <x v="1"/>
    <n v="132296"/>
    <x v="3"/>
    <s v="Gastroenteritis"/>
    <s v="Vendaje"/>
    <x v="8"/>
  </r>
  <r>
    <x v="80"/>
    <x v="101"/>
    <x v="3"/>
    <s v="LimeGreen"/>
    <s v="Bobby"/>
    <x v="0"/>
    <x v="3"/>
    <n v="148503"/>
    <x v="1"/>
    <s v="Fractura"/>
    <s v="Vitaminas"/>
    <x v="5"/>
  </r>
  <r>
    <x v="81"/>
    <x v="102"/>
    <x v="4"/>
    <s v="Crimson"/>
    <s v="Michael"/>
    <x v="0"/>
    <x v="3"/>
    <n v="66173"/>
    <x v="2"/>
    <s v="Anemia"/>
    <s v="Vitaminas"/>
    <x v="4"/>
  </r>
  <r>
    <x v="82"/>
    <x v="103"/>
    <x v="2"/>
    <s v="Reverse-engineered non-volatile secured line"/>
    <s v="Megan"/>
    <x v="1"/>
    <x v="3"/>
    <n v="134183"/>
    <x v="2"/>
    <s v="Otitis"/>
    <s v="Vitaminas"/>
    <x v="2"/>
  </r>
  <r>
    <x v="83"/>
    <x v="104"/>
    <x v="1"/>
    <s v="LavenderBlush"/>
    <s v="Larry"/>
    <x v="0"/>
    <x v="0"/>
    <n v="138175"/>
    <x v="0"/>
    <s v="Fractura"/>
    <s v="Vendaje"/>
    <x v="3"/>
  </r>
  <r>
    <x v="84"/>
    <x v="105"/>
    <x v="2"/>
    <s v="Adaptive 24/7 interface"/>
    <s v="John"/>
    <x v="1"/>
    <x v="0"/>
    <n v="27523"/>
    <x v="4"/>
    <s v="Otitis"/>
    <s v="Cirugía menor"/>
    <x v="9"/>
  </r>
  <r>
    <x v="71"/>
    <x v="106"/>
    <x v="4"/>
    <s v="ForestGreen"/>
    <s v="Jennifer"/>
    <x v="0"/>
    <x v="0"/>
    <n v="87725"/>
    <x v="3"/>
    <s v="Otitis"/>
    <s v="Vendaje"/>
    <x v="5"/>
  </r>
  <r>
    <x v="85"/>
    <x v="107"/>
    <x v="3"/>
    <s v="MediumSpringGreen"/>
    <s v="Leslie"/>
    <x v="0"/>
    <x v="1"/>
    <n v="70084"/>
    <x v="1"/>
    <s v="Infección urinaria"/>
    <s v="Rehabilitación"/>
    <x v="2"/>
  </r>
  <r>
    <x v="86"/>
    <x v="108"/>
    <x v="4"/>
    <s v="SlateBlue"/>
    <s v="Thomas"/>
    <x v="1"/>
    <x v="1"/>
    <n v="82999"/>
    <x v="4"/>
    <s v="Anemia"/>
    <s v="Rehabilitación"/>
    <x v="4"/>
  </r>
  <r>
    <x v="87"/>
    <x v="109"/>
    <x v="4"/>
    <s v="RosyBrown"/>
    <s v="Dustin"/>
    <x v="1"/>
    <x v="4"/>
    <n v="44393"/>
    <x v="3"/>
    <s v="Infección urinaria"/>
    <s v="Cambio de dieta"/>
    <x v="8"/>
  </r>
  <r>
    <x v="88"/>
    <x v="110"/>
    <x v="1"/>
    <s v="DarkSlateBlue"/>
    <s v="Stephen"/>
    <x v="1"/>
    <x v="1"/>
    <n v="116736"/>
    <x v="4"/>
    <s v="Desnutrición"/>
    <s v="Vendaje"/>
    <x v="5"/>
  </r>
  <r>
    <x v="89"/>
    <x v="111"/>
    <x v="3"/>
    <s v="Cyan"/>
    <s v="Jerome"/>
    <x v="1"/>
    <x v="1"/>
    <n v="106714"/>
    <x v="3"/>
    <s v="Anemia"/>
    <s v="Cambio de dieta"/>
    <x v="3"/>
  </r>
  <r>
    <x v="90"/>
    <x v="112"/>
    <x v="3"/>
    <s v="SaddleBrown"/>
    <s v="Juan"/>
    <x v="1"/>
    <x v="0"/>
    <n v="80434"/>
    <x v="1"/>
    <s v="Anemia"/>
    <s v="Cirugía menor"/>
    <x v="7"/>
  </r>
  <r>
    <x v="91"/>
    <x v="113"/>
    <x v="3"/>
    <s v="Teal"/>
    <s v="Troy"/>
    <x v="0"/>
    <x v="1"/>
    <n v="68535"/>
    <x v="0"/>
    <s v="Infección urinaria"/>
    <s v="Rehabilitación"/>
    <x v="4"/>
  </r>
  <r>
    <x v="92"/>
    <x v="114"/>
    <x v="4"/>
    <s v="Indigo"/>
    <s v="Tracie"/>
    <x v="1"/>
    <x v="1"/>
    <n v="157530"/>
    <x v="2"/>
    <s v="Otitis"/>
    <s v="Antibióticos"/>
    <x v="9"/>
  </r>
  <r>
    <x v="8"/>
    <x v="115"/>
    <x v="1"/>
    <s v="LightYellow"/>
    <s v="Michele"/>
    <x v="1"/>
    <x v="2"/>
    <n v="114602"/>
    <x v="0"/>
    <s v="Otitis"/>
    <s v="Antibióticos"/>
    <x v="6"/>
  </r>
  <r>
    <x v="93"/>
    <x v="116"/>
    <x v="2"/>
    <s v="Inverse analyzing flexibility"/>
    <s v="Amanda"/>
    <x v="0"/>
    <x v="0"/>
    <n v="31931"/>
    <x v="1"/>
    <s v="Desnutrición"/>
    <s v="Vitaminas"/>
    <x v="4"/>
  </r>
  <r>
    <x v="27"/>
    <x v="117"/>
    <x v="1"/>
    <s v="DarkGray"/>
    <s v="Michelle"/>
    <x v="1"/>
    <x v="4"/>
    <n v="23215"/>
    <x v="2"/>
    <s v="Otitis"/>
    <s v="Cambio de dieta"/>
    <x v="9"/>
  </r>
  <r>
    <x v="94"/>
    <x v="118"/>
    <x v="4"/>
    <s v="DarkGreen"/>
    <s v="Sean"/>
    <x v="1"/>
    <x v="0"/>
    <n v="68329"/>
    <x v="1"/>
    <s v="Otitis"/>
    <s v="Cambio de dieta"/>
    <x v="7"/>
  </r>
  <r>
    <x v="95"/>
    <x v="119"/>
    <x v="0"/>
    <s v="Chartreuse"/>
    <s v="Scott"/>
    <x v="0"/>
    <x v="3"/>
    <n v="148908"/>
    <x v="1"/>
    <s v="Desnutrición"/>
    <s v="Rehabilitación"/>
    <x v="9"/>
  </r>
  <r>
    <x v="96"/>
    <x v="120"/>
    <x v="0"/>
    <s v="MintCream"/>
    <s v="Heather"/>
    <x v="0"/>
    <x v="2"/>
    <n v="167545"/>
    <x v="3"/>
    <s v="Gastroenteritis"/>
    <s v="Cirugía menor"/>
    <x v="1"/>
  </r>
  <r>
    <x v="97"/>
    <x v="121"/>
    <x v="0"/>
    <s v="DimGray"/>
    <s v="Steven"/>
    <x v="1"/>
    <x v="1"/>
    <n v="176271"/>
    <x v="2"/>
    <s v="Infección urinaria"/>
    <s v="Vendaje"/>
    <x v="4"/>
  </r>
  <r>
    <x v="64"/>
    <x v="122"/>
    <x v="4"/>
    <s v="WhiteSmoke"/>
    <s v="Paul"/>
    <x v="1"/>
    <x v="3"/>
    <n v="97949"/>
    <x v="2"/>
    <s v="Fractura"/>
    <s v="Vitaminas"/>
    <x v="2"/>
  </r>
  <r>
    <x v="98"/>
    <x v="123"/>
    <x v="2"/>
    <s v="Devolved logistical Internet solution"/>
    <s v="Nancy"/>
    <x v="0"/>
    <x v="1"/>
    <n v="46013"/>
    <x v="0"/>
    <s v="Anemia"/>
    <s v="Cirugía menor"/>
    <x v="8"/>
  </r>
  <r>
    <x v="99"/>
    <x v="124"/>
    <x v="3"/>
    <s v="Beige"/>
    <s v="Carla"/>
    <x v="0"/>
    <x v="2"/>
    <n v="82879"/>
    <x v="0"/>
    <s v="Desnutrición"/>
    <s v="Antibióticos"/>
    <x v="6"/>
  </r>
  <r>
    <x v="84"/>
    <x v="125"/>
    <x v="1"/>
    <s v="DarkOliveGreen"/>
    <s v="Jessica"/>
    <x v="0"/>
    <x v="3"/>
    <n v="138096"/>
    <x v="2"/>
    <s v="Fractura"/>
    <s v="Vitaminas"/>
    <x v="8"/>
  </r>
  <r>
    <x v="100"/>
    <x v="126"/>
    <x v="0"/>
    <s v="LightSalmon"/>
    <s v="Mary"/>
    <x v="0"/>
    <x v="0"/>
    <n v="94112"/>
    <x v="4"/>
    <s v="Gastroenteritis"/>
    <s v="Rehabilitación"/>
    <x v="7"/>
  </r>
  <r>
    <x v="101"/>
    <x v="127"/>
    <x v="1"/>
    <s v="MediumSeaGreen"/>
    <s v="Fred"/>
    <x v="1"/>
    <x v="1"/>
    <n v="193325"/>
    <x v="0"/>
    <s v="Fractura"/>
    <s v="Antibióticos"/>
    <x v="1"/>
  </r>
  <r>
    <x v="102"/>
    <x v="128"/>
    <x v="2"/>
    <s v="Fully-configurable maximized customer loyalty"/>
    <s v="Joshua"/>
    <x v="0"/>
    <x v="2"/>
    <n v="89633"/>
    <x v="0"/>
    <s v="Gastroenteritis"/>
    <s v="Antibióticos"/>
    <x v="7"/>
  </r>
  <r>
    <x v="103"/>
    <x v="129"/>
    <x v="1"/>
    <s v="DarkSalmon"/>
    <s v="Mary"/>
    <x v="1"/>
    <x v="1"/>
    <n v="169214"/>
    <x v="3"/>
    <s v="Fractura"/>
    <s v="Antibióticos"/>
    <x v="3"/>
  </r>
  <r>
    <x v="104"/>
    <x v="130"/>
    <x v="4"/>
    <s v="DarkGreen"/>
    <s v="Joshua"/>
    <x v="1"/>
    <x v="3"/>
    <n v="91367"/>
    <x v="2"/>
    <s v="Desnutrición"/>
    <s v="Cambio de dieta"/>
    <x v="0"/>
  </r>
  <r>
    <x v="105"/>
    <x v="131"/>
    <x v="4"/>
    <s v="DarkSeaGreen"/>
    <s v="Danielle"/>
    <x v="0"/>
    <x v="1"/>
    <n v="30449"/>
    <x v="4"/>
    <s v="Anemia"/>
    <s v="Vitaminas"/>
    <x v="5"/>
  </r>
  <r>
    <x v="106"/>
    <x v="132"/>
    <x v="2"/>
    <s v="Reduced neutral pricing structure"/>
    <s v="Katie"/>
    <x v="1"/>
    <x v="4"/>
    <n v="43940"/>
    <x v="0"/>
    <s v="Anemia"/>
    <s v="Vendaje"/>
    <x v="4"/>
  </r>
  <r>
    <x v="107"/>
    <x v="133"/>
    <x v="2"/>
    <s v="Switchable 5thgeneration analyzer"/>
    <s v="Patrick"/>
    <x v="0"/>
    <x v="0"/>
    <n v="171059"/>
    <x v="1"/>
    <s v="Infección urinaria"/>
    <s v="Cambio de dieta"/>
    <x v="7"/>
  </r>
  <r>
    <x v="108"/>
    <x v="134"/>
    <x v="2"/>
    <s v="Inverse leadingedge application"/>
    <s v="Manuel"/>
    <x v="1"/>
    <x v="0"/>
    <n v="67576"/>
    <x v="2"/>
    <s v="Fractura"/>
    <s v="Rehabilitación"/>
    <x v="7"/>
  </r>
  <r>
    <x v="109"/>
    <x v="135"/>
    <x v="4"/>
    <s v="DarkSalmon"/>
    <s v="Tammy"/>
    <x v="0"/>
    <x v="3"/>
    <n v="111215"/>
    <x v="4"/>
    <s v="Otitis"/>
    <s v="Vitaminas"/>
    <x v="0"/>
  </r>
  <r>
    <x v="110"/>
    <x v="136"/>
    <x v="0"/>
    <s v="LightBlue"/>
    <s v="Melissa"/>
    <x v="0"/>
    <x v="0"/>
    <n v="127910"/>
    <x v="4"/>
    <s v="Otitis"/>
    <s v="Rehabilitación"/>
    <x v="6"/>
  </r>
  <r>
    <x v="111"/>
    <x v="137"/>
    <x v="4"/>
    <s v="ForestGreen"/>
    <s v="Darryl"/>
    <x v="0"/>
    <x v="3"/>
    <n v="43084"/>
    <x v="3"/>
    <s v="Otitis"/>
    <s v="Vitaminas"/>
    <x v="0"/>
  </r>
  <r>
    <x v="112"/>
    <x v="138"/>
    <x v="0"/>
    <s v="Aqua"/>
    <s v="Shawn"/>
    <x v="1"/>
    <x v="1"/>
    <n v="20301"/>
    <x v="2"/>
    <s v="Fractura"/>
    <s v="Cambio de dieta"/>
    <x v="7"/>
  </r>
  <r>
    <x v="23"/>
    <x v="139"/>
    <x v="0"/>
    <s v="LightCoral"/>
    <s v="Philip"/>
    <x v="0"/>
    <x v="1"/>
    <n v="114838"/>
    <x v="2"/>
    <s v="Fractura"/>
    <s v="Rehabilitación"/>
    <x v="8"/>
  </r>
  <r>
    <x v="99"/>
    <x v="140"/>
    <x v="4"/>
    <s v="Olive"/>
    <s v="Steven"/>
    <x v="0"/>
    <x v="2"/>
    <n v="90007"/>
    <x v="2"/>
    <s v="Infección urinaria"/>
    <s v="Vitaminas"/>
    <x v="9"/>
  </r>
  <r>
    <x v="113"/>
    <x v="141"/>
    <x v="4"/>
    <s v="GhostWhite"/>
    <s v="Kelsey"/>
    <x v="1"/>
    <x v="4"/>
    <n v="27567"/>
    <x v="2"/>
    <s v="Infección urinaria"/>
    <s v="Rehabilitación"/>
    <x v="8"/>
  </r>
  <r>
    <x v="114"/>
    <x v="142"/>
    <x v="1"/>
    <s v="Cyan"/>
    <s v="David"/>
    <x v="1"/>
    <x v="1"/>
    <n v="23584"/>
    <x v="2"/>
    <s v="Fractura"/>
    <s v="Antibióticos"/>
    <x v="0"/>
  </r>
  <r>
    <x v="115"/>
    <x v="143"/>
    <x v="1"/>
    <s v="DarkGray"/>
    <s v="Kimberly"/>
    <x v="0"/>
    <x v="3"/>
    <n v="50793"/>
    <x v="0"/>
    <s v="Fractura"/>
    <s v="Rehabilitación"/>
    <x v="3"/>
  </r>
  <r>
    <x v="116"/>
    <x v="144"/>
    <x v="3"/>
    <s v="Plum"/>
    <s v="Justin"/>
    <x v="1"/>
    <x v="3"/>
    <n v="146484"/>
    <x v="4"/>
    <s v="Infección urinaria"/>
    <s v="Cambio de dieta"/>
    <x v="0"/>
  </r>
  <r>
    <x v="117"/>
    <x v="145"/>
    <x v="2"/>
    <s v="Progressive dynamic knowledgebase"/>
    <s v="Andrew"/>
    <x v="0"/>
    <x v="3"/>
    <n v="69967"/>
    <x v="2"/>
    <s v="Desnutrición"/>
    <s v="Rehabilitación"/>
    <x v="9"/>
  </r>
  <r>
    <x v="118"/>
    <x v="146"/>
    <x v="1"/>
    <s v="LightSeaGreen"/>
    <s v="Billy"/>
    <x v="0"/>
    <x v="0"/>
    <n v="128774"/>
    <x v="3"/>
    <s v="Desnutrición"/>
    <s v="Vitaminas"/>
    <x v="7"/>
  </r>
  <r>
    <x v="119"/>
    <x v="147"/>
    <x v="0"/>
    <s v="HotPink"/>
    <s v="Alex"/>
    <x v="1"/>
    <x v="0"/>
    <n v="173862"/>
    <x v="2"/>
    <s v="Anemia"/>
    <s v="Cambio de dieta"/>
    <x v="4"/>
  </r>
  <r>
    <x v="120"/>
    <x v="148"/>
    <x v="1"/>
    <s v="Linen"/>
    <s v="Lori"/>
    <x v="1"/>
    <x v="1"/>
    <n v="146967"/>
    <x v="3"/>
    <s v="Otitis"/>
    <s v="Vendaje"/>
    <x v="5"/>
  </r>
  <r>
    <x v="121"/>
    <x v="149"/>
    <x v="2"/>
    <s v="Operative logistical concept"/>
    <s v="Lisa"/>
    <x v="1"/>
    <x v="3"/>
    <n v="104352"/>
    <x v="0"/>
    <s v="Anemia"/>
    <s v="Cirugía menor"/>
    <x v="8"/>
  </r>
  <r>
    <x v="122"/>
    <x v="150"/>
    <x v="5"/>
    <m/>
    <m/>
    <x v="2"/>
    <x v="5"/>
    <m/>
    <x v="5"/>
    <m/>
    <m/>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93F14F-C5A2-AA43-A322-CBE7B5B49AC4}"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82:B95" firstHeaderRow="1" firstDataRow="1" firstDataCol="1"/>
  <pivotFields count="14">
    <pivotField axis="axisRow" showAll="0">
      <items count="124">
        <item x="14"/>
        <item x="61"/>
        <item x="7"/>
        <item x="97"/>
        <item x="68"/>
        <item x="95"/>
        <item x="93"/>
        <item x="83"/>
        <item x="52"/>
        <item x="20"/>
        <item x="77"/>
        <item x="107"/>
        <item x="109"/>
        <item x="39"/>
        <item x="47"/>
        <item x="33"/>
        <item x="41"/>
        <item x="26"/>
        <item x="92"/>
        <item x="79"/>
        <item x="13"/>
        <item x="63"/>
        <item x="65"/>
        <item x="104"/>
        <item x="86"/>
        <item x="46"/>
        <item x="44"/>
        <item x="21"/>
        <item x="64"/>
        <item x="34"/>
        <item x="43"/>
        <item x="85"/>
        <item x="5"/>
        <item x="0"/>
        <item x="118"/>
        <item x="89"/>
        <item x="49"/>
        <item x="120"/>
        <item x="119"/>
        <item x="4"/>
        <item x="3"/>
        <item x="10"/>
        <item x="60"/>
        <item x="22"/>
        <item x="6"/>
        <item x="102"/>
        <item x="12"/>
        <item x="57"/>
        <item x="55"/>
        <item x="106"/>
        <item x="94"/>
        <item x="18"/>
        <item x="111"/>
        <item x="24"/>
        <item x="112"/>
        <item x="35"/>
        <item x="25"/>
        <item x="16"/>
        <item x="11"/>
        <item x="80"/>
        <item x="113"/>
        <item x="53"/>
        <item x="90"/>
        <item x="110"/>
        <item x="69"/>
        <item x="81"/>
        <item x="36"/>
        <item x="66"/>
        <item x="38"/>
        <item x="2"/>
        <item x="28"/>
        <item x="101"/>
        <item x="62"/>
        <item x="17"/>
        <item x="32"/>
        <item x="115"/>
        <item x="59"/>
        <item x="23"/>
        <item x="74"/>
        <item x="58"/>
        <item x="103"/>
        <item x="19"/>
        <item x="73"/>
        <item x="84"/>
        <item x="40"/>
        <item x="117"/>
        <item x="50"/>
        <item x="70"/>
        <item x="29"/>
        <item x="1"/>
        <item x="91"/>
        <item x="87"/>
        <item x="45"/>
        <item x="78"/>
        <item x="76"/>
        <item x="15"/>
        <item x="98"/>
        <item x="88"/>
        <item x="27"/>
        <item x="100"/>
        <item x="99"/>
        <item x="71"/>
        <item x="9"/>
        <item x="96"/>
        <item x="8"/>
        <item x="42"/>
        <item x="31"/>
        <item x="105"/>
        <item x="67"/>
        <item x="114"/>
        <item x="75"/>
        <item x="30"/>
        <item x="72"/>
        <item x="121"/>
        <item x="82"/>
        <item x="54"/>
        <item x="108"/>
        <item x="116"/>
        <item x="48"/>
        <item x="37"/>
        <item x="51"/>
        <item x="56"/>
        <item x="122"/>
        <item t="default"/>
      </items>
    </pivotField>
    <pivotField showAll="0"/>
    <pivotField showAll="0">
      <items count="7">
        <item x="2"/>
        <item x="3"/>
        <item x="1"/>
        <item x="4"/>
        <item x="0"/>
        <item x="5"/>
        <item t="default"/>
      </items>
    </pivotField>
    <pivotField showAll="0"/>
    <pivotField showAll="0"/>
    <pivotField showAll="0">
      <items count="4">
        <item x="1"/>
        <item x="0"/>
        <item x="2"/>
        <item t="default"/>
      </items>
    </pivotField>
    <pivotField showAll="0">
      <items count="7">
        <item x="4"/>
        <item x="3"/>
        <item x="1"/>
        <item x="0"/>
        <item x="2"/>
        <item x="5"/>
        <item t="default"/>
      </items>
    </pivotField>
    <pivotField dataField="1" showAll="0"/>
    <pivotField showAll="0">
      <items count="7">
        <item x="1"/>
        <item x="4"/>
        <item x="3"/>
        <item x="2"/>
        <item x="0"/>
        <item x="5"/>
        <item t="default"/>
      </items>
    </pivotField>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n="1/6/24" h="1" sd="0" x="0"/>
        <item sd="0" x="1"/>
        <item sd="0" x="2"/>
        <item sd="0" x="3"/>
        <item sd="0" x="4"/>
        <item sd="0" x="5"/>
        <item sd="0" x="6"/>
        <item sd="0" x="7"/>
        <item sd="0" x="8"/>
        <item sd="0" x="9"/>
        <item sd="0" x="10"/>
        <item sd="0" x="11"/>
        <item sd="0" x="12"/>
        <item sd="0" x="13"/>
        <item t="default"/>
      </items>
    </pivotField>
  </pivotFields>
  <rowFields count="3">
    <field x="13"/>
    <field x="12"/>
    <field x="0"/>
  </rowFields>
  <rowItems count="13">
    <i>
      <x v="1"/>
    </i>
    <i>
      <x v="2"/>
    </i>
    <i>
      <x v="3"/>
    </i>
    <i>
      <x v="4"/>
    </i>
    <i>
      <x v="5"/>
    </i>
    <i>
      <x v="6"/>
    </i>
    <i>
      <x v="7"/>
    </i>
    <i>
      <x v="8"/>
    </i>
    <i>
      <x v="9"/>
    </i>
    <i>
      <x v="10"/>
    </i>
    <i>
      <x v="11"/>
    </i>
    <i>
      <x v="12"/>
    </i>
    <i t="grand">
      <x/>
    </i>
  </rowItems>
  <colItems count="1">
    <i/>
  </colItems>
  <dataFields count="1">
    <dataField name="Sum of Monto pagado" fld="7" baseField="0" baseItem="0"/>
  </dataFields>
  <formats count="13">
    <format dxfId="152">
      <pivotArea collapsedLevelsAreSubtotals="1" fieldPosition="0">
        <references count="1">
          <reference field="13" count="1">
            <x v="1"/>
          </reference>
        </references>
      </pivotArea>
    </format>
    <format dxfId="151">
      <pivotArea collapsedLevelsAreSubtotals="1" fieldPosition="0">
        <references count="1">
          <reference field="13" count="1">
            <x v="2"/>
          </reference>
        </references>
      </pivotArea>
    </format>
    <format dxfId="150">
      <pivotArea collapsedLevelsAreSubtotals="1" fieldPosition="0">
        <references count="1">
          <reference field="13" count="1">
            <x v="3"/>
          </reference>
        </references>
      </pivotArea>
    </format>
    <format dxfId="149">
      <pivotArea collapsedLevelsAreSubtotals="1" fieldPosition="0">
        <references count="1">
          <reference field="13" count="1">
            <x v="4"/>
          </reference>
        </references>
      </pivotArea>
    </format>
    <format dxfId="148">
      <pivotArea collapsedLevelsAreSubtotals="1" fieldPosition="0">
        <references count="1">
          <reference field="13" count="1">
            <x v="5"/>
          </reference>
        </references>
      </pivotArea>
    </format>
    <format dxfId="147">
      <pivotArea collapsedLevelsAreSubtotals="1" fieldPosition="0">
        <references count="1">
          <reference field="13" count="1">
            <x v="6"/>
          </reference>
        </references>
      </pivotArea>
    </format>
    <format dxfId="146">
      <pivotArea collapsedLevelsAreSubtotals="1" fieldPosition="0">
        <references count="1">
          <reference field="13" count="1">
            <x v="7"/>
          </reference>
        </references>
      </pivotArea>
    </format>
    <format dxfId="145">
      <pivotArea collapsedLevelsAreSubtotals="1" fieldPosition="0">
        <references count="1">
          <reference field="13" count="1">
            <x v="8"/>
          </reference>
        </references>
      </pivotArea>
    </format>
    <format dxfId="144">
      <pivotArea collapsedLevelsAreSubtotals="1" fieldPosition="0">
        <references count="1">
          <reference field="13" count="1">
            <x v="9"/>
          </reference>
        </references>
      </pivotArea>
    </format>
    <format dxfId="143">
      <pivotArea collapsedLevelsAreSubtotals="1" fieldPosition="0">
        <references count="1">
          <reference field="13" count="1">
            <x v="10"/>
          </reference>
        </references>
      </pivotArea>
    </format>
    <format dxfId="142">
      <pivotArea collapsedLevelsAreSubtotals="1" fieldPosition="0">
        <references count="1">
          <reference field="13" count="1">
            <x v="11"/>
          </reference>
        </references>
      </pivotArea>
    </format>
    <format dxfId="141">
      <pivotArea collapsedLevelsAreSubtotals="1" fieldPosition="0">
        <references count="1">
          <reference field="13" count="1">
            <x v="12"/>
          </reference>
        </references>
      </pivotArea>
    </format>
    <format dxfId="140">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4EAE83-3FF0-1247-8E64-7FA5EF366AB3}"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0:B72" firstHeaderRow="1" firstDataRow="1" firstDataCol="1"/>
  <pivotFields count="14">
    <pivotField showAll="0">
      <items count="124">
        <item x="14"/>
        <item x="61"/>
        <item x="7"/>
        <item x="97"/>
        <item x="68"/>
        <item x="95"/>
        <item x="93"/>
        <item x="83"/>
        <item x="52"/>
        <item x="20"/>
        <item x="77"/>
        <item x="107"/>
        <item x="109"/>
        <item x="39"/>
        <item x="47"/>
        <item x="33"/>
        <item x="41"/>
        <item x="26"/>
        <item x="92"/>
        <item x="79"/>
        <item x="13"/>
        <item x="63"/>
        <item x="65"/>
        <item x="104"/>
        <item x="86"/>
        <item x="46"/>
        <item x="44"/>
        <item x="21"/>
        <item x="64"/>
        <item x="34"/>
        <item x="43"/>
        <item x="85"/>
        <item x="5"/>
        <item x="0"/>
        <item x="118"/>
        <item x="89"/>
        <item x="49"/>
        <item x="120"/>
        <item x="119"/>
        <item x="4"/>
        <item x="3"/>
        <item x="10"/>
        <item x="60"/>
        <item x="22"/>
        <item x="6"/>
        <item x="102"/>
        <item x="12"/>
        <item x="57"/>
        <item x="55"/>
        <item x="106"/>
        <item x="94"/>
        <item x="18"/>
        <item x="111"/>
        <item x="24"/>
        <item x="112"/>
        <item x="35"/>
        <item x="25"/>
        <item x="16"/>
        <item x="11"/>
        <item x="80"/>
        <item x="113"/>
        <item x="53"/>
        <item x="90"/>
        <item x="110"/>
        <item x="69"/>
        <item x="81"/>
        <item x="36"/>
        <item x="66"/>
        <item x="38"/>
        <item x="2"/>
        <item x="28"/>
        <item x="101"/>
        <item x="62"/>
        <item x="17"/>
        <item x="32"/>
        <item x="115"/>
        <item x="59"/>
        <item x="23"/>
        <item x="74"/>
        <item x="58"/>
        <item x="103"/>
        <item x="19"/>
        <item x="73"/>
        <item x="84"/>
        <item x="40"/>
        <item x="117"/>
        <item x="50"/>
        <item x="70"/>
        <item x="29"/>
        <item x="1"/>
        <item x="91"/>
        <item x="87"/>
        <item x="45"/>
        <item x="78"/>
        <item x="76"/>
        <item x="15"/>
        <item x="98"/>
        <item x="88"/>
        <item x="27"/>
        <item x="100"/>
        <item x="99"/>
        <item x="71"/>
        <item x="9"/>
        <item x="96"/>
        <item x="8"/>
        <item x="42"/>
        <item x="31"/>
        <item x="105"/>
        <item x="67"/>
        <item x="114"/>
        <item x="75"/>
        <item x="30"/>
        <item x="72"/>
        <item x="121"/>
        <item x="82"/>
        <item x="54"/>
        <item x="108"/>
        <item x="116"/>
        <item x="48"/>
        <item x="37"/>
        <item x="51"/>
        <item x="56"/>
        <item x="122"/>
        <item t="default"/>
      </items>
    </pivotField>
    <pivotField showAll="0"/>
    <pivotField showAll="0">
      <items count="7">
        <item x="2"/>
        <item x="3"/>
        <item x="1"/>
        <item x="4"/>
        <item x="0"/>
        <item x="5"/>
        <item t="default"/>
      </items>
    </pivotField>
    <pivotField showAll="0"/>
    <pivotField showAll="0"/>
    <pivotField showAll="0">
      <items count="4">
        <item x="1"/>
        <item x="0"/>
        <item x="2"/>
        <item t="default"/>
      </items>
    </pivotField>
    <pivotField showAll="0">
      <items count="7">
        <item x="4"/>
        <item x="3"/>
        <item x="1"/>
        <item x="0"/>
        <item x="2"/>
        <item x="5"/>
        <item t="default"/>
      </items>
    </pivotField>
    <pivotField dataField="1" showAll="0"/>
    <pivotField showAll="0">
      <items count="7">
        <item x="1"/>
        <item x="4"/>
        <item x="3"/>
        <item x="2"/>
        <item x="0"/>
        <item x="5"/>
        <item t="default"/>
      </items>
    </pivotField>
    <pivotField showAll="0"/>
    <pivotField showAll="0"/>
    <pivotField axis="axisRow" showAll="0">
      <items count="12">
        <item x="2"/>
        <item x="8"/>
        <item x="1"/>
        <item x="7"/>
        <item x="9"/>
        <item x="6"/>
        <item x="0"/>
        <item x="3"/>
        <item x="4"/>
        <item x="5"/>
        <item x="1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1"/>
  </rowFields>
  <rowItems count="12">
    <i>
      <x/>
    </i>
    <i>
      <x v="1"/>
    </i>
    <i>
      <x v="2"/>
    </i>
    <i>
      <x v="3"/>
    </i>
    <i>
      <x v="4"/>
    </i>
    <i>
      <x v="5"/>
    </i>
    <i>
      <x v="6"/>
    </i>
    <i>
      <x v="7"/>
    </i>
    <i>
      <x v="8"/>
    </i>
    <i>
      <x v="9"/>
    </i>
    <i>
      <x v="10"/>
    </i>
    <i t="grand">
      <x/>
    </i>
  </rowItems>
  <colItems count="1">
    <i/>
  </colItems>
  <dataFields count="1">
    <dataField name="Sum of Monto pagado" fld="7" baseField="0" baseItem="0" numFmtId="44"/>
  </dataFields>
  <formats count="2">
    <format dxfId="154">
      <pivotArea field="11" type="button" dataOnly="0" labelOnly="1" outline="0" axis="axisRow" fieldPosition="0"/>
    </format>
    <format dxfId="15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4560F4-CA9B-0048-9473-282D47D6586E}"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9:B45" firstHeaderRow="1" firstDataRow="1" firstDataCol="1"/>
  <pivotFields count="14">
    <pivotField showAll="0">
      <items count="124">
        <item x="14"/>
        <item x="61"/>
        <item x="7"/>
        <item x="97"/>
        <item x="68"/>
        <item x="95"/>
        <item x="93"/>
        <item x="83"/>
        <item x="52"/>
        <item x="20"/>
        <item x="77"/>
        <item x="107"/>
        <item x="109"/>
        <item x="39"/>
        <item x="47"/>
        <item x="33"/>
        <item x="41"/>
        <item x="26"/>
        <item x="92"/>
        <item x="79"/>
        <item x="13"/>
        <item x="63"/>
        <item x="65"/>
        <item x="104"/>
        <item x="86"/>
        <item x="46"/>
        <item x="44"/>
        <item x="21"/>
        <item x="64"/>
        <item x="34"/>
        <item x="43"/>
        <item x="85"/>
        <item x="5"/>
        <item x="0"/>
        <item x="118"/>
        <item x="89"/>
        <item x="49"/>
        <item x="120"/>
        <item x="119"/>
        <item x="4"/>
        <item x="3"/>
        <item x="10"/>
        <item x="60"/>
        <item x="22"/>
        <item x="6"/>
        <item x="102"/>
        <item x="12"/>
        <item x="57"/>
        <item x="55"/>
        <item x="106"/>
        <item x="94"/>
        <item x="18"/>
        <item x="111"/>
        <item x="24"/>
        <item x="112"/>
        <item x="35"/>
        <item x="25"/>
        <item x="16"/>
        <item x="11"/>
        <item x="80"/>
        <item x="113"/>
        <item x="53"/>
        <item x="90"/>
        <item x="110"/>
        <item x="69"/>
        <item x="81"/>
        <item x="36"/>
        <item x="66"/>
        <item x="38"/>
        <item x="2"/>
        <item x="28"/>
        <item x="101"/>
        <item x="62"/>
        <item x="17"/>
        <item x="32"/>
        <item x="115"/>
        <item x="59"/>
        <item x="23"/>
        <item x="74"/>
        <item x="58"/>
        <item x="103"/>
        <item x="19"/>
        <item x="73"/>
        <item x="84"/>
        <item x="40"/>
        <item x="117"/>
        <item x="50"/>
        <item x="70"/>
        <item x="29"/>
        <item x="1"/>
        <item x="91"/>
        <item x="87"/>
        <item x="45"/>
        <item x="78"/>
        <item x="76"/>
        <item x="15"/>
        <item x="98"/>
        <item x="88"/>
        <item x="27"/>
        <item x="100"/>
        <item x="99"/>
        <item x="71"/>
        <item x="9"/>
        <item x="96"/>
        <item x="8"/>
        <item x="42"/>
        <item x="31"/>
        <item x="105"/>
        <item x="67"/>
        <item x="114"/>
        <item x="75"/>
        <item x="30"/>
        <item x="72"/>
        <item x="121"/>
        <item x="82"/>
        <item x="54"/>
        <item x="108"/>
        <item x="116"/>
        <item x="48"/>
        <item x="37"/>
        <item x="51"/>
        <item x="56"/>
        <item x="122"/>
        <item t="default"/>
      </items>
    </pivotField>
    <pivotField axis="axisRow" showAll="0" measureFilter="1">
      <items count="152">
        <item x="87"/>
        <item x="45"/>
        <item x="13"/>
        <item x="98"/>
        <item x="138"/>
        <item x="40"/>
        <item x="148"/>
        <item x="73"/>
        <item x="67"/>
        <item x="147"/>
        <item x="48"/>
        <item x="65"/>
        <item x="32"/>
        <item x="54"/>
        <item x="128"/>
        <item x="143"/>
        <item x="77"/>
        <item x="86"/>
        <item x="5"/>
        <item x="37"/>
        <item x="39"/>
        <item x="16"/>
        <item x="17"/>
        <item x="57"/>
        <item x="26"/>
        <item x="7"/>
        <item x="97"/>
        <item x="75"/>
        <item x="127"/>
        <item x="106"/>
        <item x="61"/>
        <item x="136"/>
        <item x="76"/>
        <item x="3"/>
        <item x="53"/>
        <item x="84"/>
        <item x="110"/>
        <item x="2"/>
        <item x="130"/>
        <item x="62"/>
        <item x="139"/>
        <item x="72"/>
        <item x="103"/>
        <item x="51"/>
        <item x="135"/>
        <item x="74"/>
        <item x="56"/>
        <item x="34"/>
        <item x="18"/>
        <item x="64"/>
        <item x="132"/>
        <item x="59"/>
        <item x="60"/>
        <item x="82"/>
        <item x="58"/>
        <item x="6"/>
        <item x="93"/>
        <item x="112"/>
        <item x="42"/>
        <item x="96"/>
        <item x="35"/>
        <item x="15"/>
        <item x="146"/>
        <item x="78"/>
        <item x="47"/>
        <item x="121"/>
        <item x="119"/>
        <item x="111"/>
        <item x="28"/>
        <item x="70"/>
        <item x="43"/>
        <item x="100"/>
        <item x="101"/>
        <item x="19"/>
        <item x="89"/>
        <item x="22"/>
        <item x="9"/>
        <item x="1"/>
        <item x="12"/>
        <item x="141"/>
        <item x="50"/>
        <item x="122"/>
        <item x="80"/>
        <item x="25"/>
        <item x="46"/>
        <item x="92"/>
        <item x="31"/>
        <item x="99"/>
        <item x="145"/>
        <item x="108"/>
        <item x="102"/>
        <item x="66"/>
        <item x="113"/>
        <item x="85"/>
        <item x="115"/>
        <item x="123"/>
        <item x="114"/>
        <item x="11"/>
        <item x="144"/>
        <item x="88"/>
        <item x="83"/>
        <item x="44"/>
        <item x="69"/>
        <item x="68"/>
        <item x="20"/>
        <item x="134"/>
        <item x="71"/>
        <item x="95"/>
        <item x="104"/>
        <item x="105"/>
        <item x="38"/>
        <item x="79"/>
        <item x="33"/>
        <item x="27"/>
        <item x="142"/>
        <item x="109"/>
        <item x="129"/>
        <item x="24"/>
        <item x="125"/>
        <item x="149"/>
        <item x="116"/>
        <item x="55"/>
        <item x="30"/>
        <item x="140"/>
        <item x="14"/>
        <item x="137"/>
        <item x="120"/>
        <item x="124"/>
        <item x="10"/>
        <item x="131"/>
        <item x="0"/>
        <item x="41"/>
        <item x="118"/>
        <item x="8"/>
        <item x="126"/>
        <item x="133"/>
        <item x="4"/>
        <item x="91"/>
        <item x="94"/>
        <item x="52"/>
        <item x="107"/>
        <item x="81"/>
        <item x="90"/>
        <item x="36"/>
        <item x="21"/>
        <item x="29"/>
        <item x="63"/>
        <item x="49"/>
        <item x="23"/>
        <item x="117"/>
        <item x="150"/>
        <item t="default"/>
      </items>
    </pivotField>
    <pivotField showAll="0">
      <items count="7">
        <item x="2"/>
        <item x="3"/>
        <item x="1"/>
        <item x="4"/>
        <item x="0"/>
        <item x="5"/>
        <item t="default"/>
      </items>
    </pivotField>
    <pivotField showAll="0"/>
    <pivotField showAll="0"/>
    <pivotField showAll="0">
      <items count="4">
        <item x="1"/>
        <item x="0"/>
        <item x="2"/>
        <item t="default"/>
      </items>
    </pivotField>
    <pivotField showAll="0">
      <items count="7">
        <item x="4"/>
        <item x="3"/>
        <item x="1"/>
        <item x="0"/>
        <item x="2"/>
        <item x="5"/>
        <item t="default"/>
      </items>
    </pivotField>
    <pivotField dataField="1" showAll="0"/>
    <pivotField showAll="0">
      <items count="7">
        <item x="1"/>
        <item x="4"/>
        <item x="3"/>
        <item x="2"/>
        <item x="0"/>
        <item x="5"/>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6">
    <i>
      <x v="23"/>
    </i>
    <i>
      <x v="28"/>
    </i>
    <i>
      <x v="73"/>
    </i>
    <i>
      <x v="87"/>
    </i>
    <i>
      <x v="128"/>
    </i>
    <i t="grand">
      <x/>
    </i>
  </rowItems>
  <colItems count="1">
    <i/>
  </colItems>
  <dataFields count="1">
    <dataField name="Sum of Monto pagado" fld="7" baseField="0" baseItem="0" numFmtId="44"/>
  </dataFields>
  <formats count="3">
    <format dxfId="157">
      <pivotArea collapsedLevelsAreSubtotals="1" fieldPosition="0">
        <references count="1">
          <reference field="1" count="1">
            <x v="0"/>
          </reference>
        </references>
      </pivotArea>
    </format>
    <format dxfId="156">
      <pivotArea collapsedLevelsAreSubtotals="1" fieldPosition="0">
        <references count="1">
          <reference field="1" count="1">
            <x v="0"/>
          </reference>
        </references>
      </pivotArea>
    </format>
    <format dxfId="155">
      <pivotArea outline="0" collapsedLevelsAreSubtotals="1" fieldPosition="0"/>
    </format>
  </formats>
  <chartFormats count="6">
    <chartFormat chart="1"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1" count="1" selected="0">
            <x v="28"/>
          </reference>
        </references>
      </pivotArea>
    </chartFormat>
    <chartFormat chart="8" format="4">
      <pivotArea type="data" outline="0" fieldPosition="0">
        <references count="2">
          <reference field="4294967294" count="1" selected="0">
            <x v="0"/>
          </reference>
          <reference field="1" count="1" selected="0">
            <x v="87"/>
          </reference>
        </references>
      </pivotArea>
    </chartFormat>
    <chartFormat chart="8" format="5">
      <pivotArea type="data" outline="0" fieldPosition="0">
        <references count="2">
          <reference field="4294967294" count="1" selected="0">
            <x v="0"/>
          </reference>
          <reference field="1" count="1" selected="0">
            <x v="128"/>
          </reference>
        </references>
      </pivotArea>
    </chartFormat>
  </chartFormats>
  <pivotTableStyleInfo name="PivotStyleLight16" showRowHeaders="1" showColHeaders="1" showRowStripes="0" showColStripes="0" showLastColumn="1"/>
  <filters count="1">
    <filter fld="1" type="count" evalOrder="-1" id="1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6A07582-3CCC-7F4E-92FB-CF96A97D2638}"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2:B19" firstHeaderRow="1" firstDataRow="1" firstDataCol="1"/>
  <pivotFields count="14">
    <pivotField showAll="0">
      <items count="124">
        <item x="14"/>
        <item x="61"/>
        <item x="7"/>
        <item x="97"/>
        <item x="68"/>
        <item x="95"/>
        <item x="93"/>
        <item x="83"/>
        <item x="52"/>
        <item x="20"/>
        <item x="77"/>
        <item x="107"/>
        <item x="109"/>
        <item x="39"/>
        <item x="47"/>
        <item x="33"/>
        <item x="41"/>
        <item x="26"/>
        <item x="92"/>
        <item x="79"/>
        <item x="13"/>
        <item x="63"/>
        <item x="65"/>
        <item x="104"/>
        <item x="86"/>
        <item x="46"/>
        <item x="44"/>
        <item x="21"/>
        <item x="64"/>
        <item x="34"/>
        <item x="43"/>
        <item x="85"/>
        <item x="5"/>
        <item x="0"/>
        <item x="118"/>
        <item x="89"/>
        <item x="49"/>
        <item x="120"/>
        <item x="119"/>
        <item x="4"/>
        <item x="3"/>
        <item x="10"/>
        <item x="60"/>
        <item x="22"/>
        <item x="6"/>
        <item x="102"/>
        <item x="12"/>
        <item x="57"/>
        <item x="55"/>
        <item x="106"/>
        <item x="94"/>
        <item x="18"/>
        <item x="111"/>
        <item x="24"/>
        <item x="112"/>
        <item x="35"/>
        <item x="25"/>
        <item x="16"/>
        <item x="11"/>
        <item x="80"/>
        <item x="113"/>
        <item x="53"/>
        <item x="90"/>
        <item x="110"/>
        <item x="69"/>
        <item x="81"/>
        <item x="36"/>
        <item x="66"/>
        <item x="38"/>
        <item x="2"/>
        <item x="28"/>
        <item x="101"/>
        <item x="62"/>
        <item x="17"/>
        <item x="32"/>
        <item x="115"/>
        <item x="59"/>
        <item x="23"/>
        <item x="74"/>
        <item x="58"/>
        <item x="103"/>
        <item x="19"/>
        <item x="73"/>
        <item x="84"/>
        <item x="40"/>
        <item x="117"/>
        <item x="50"/>
        <item x="70"/>
        <item x="29"/>
        <item x="1"/>
        <item x="91"/>
        <item x="87"/>
        <item x="45"/>
        <item x="78"/>
        <item x="76"/>
        <item x="15"/>
        <item x="98"/>
        <item x="88"/>
        <item x="27"/>
        <item x="100"/>
        <item x="99"/>
        <item x="71"/>
        <item x="9"/>
        <item x="96"/>
        <item x="8"/>
        <item x="42"/>
        <item x="31"/>
        <item x="105"/>
        <item x="67"/>
        <item x="114"/>
        <item x="75"/>
        <item x="30"/>
        <item x="72"/>
        <item x="121"/>
        <item x="82"/>
        <item x="54"/>
        <item x="108"/>
        <item x="116"/>
        <item x="48"/>
        <item x="37"/>
        <item x="51"/>
        <item x="56"/>
        <item x="122"/>
        <item t="default"/>
      </items>
    </pivotField>
    <pivotField showAll="0"/>
    <pivotField showAll="0">
      <items count="7">
        <item x="2"/>
        <item x="3"/>
        <item x="1"/>
        <item x="4"/>
        <item x="0"/>
        <item x="5"/>
        <item t="default"/>
      </items>
    </pivotField>
    <pivotField showAll="0"/>
    <pivotField showAll="0"/>
    <pivotField showAll="0">
      <items count="4">
        <item x="1"/>
        <item x="0"/>
        <item x="2"/>
        <item t="default"/>
      </items>
    </pivotField>
    <pivotField axis="axisRow" showAll="0">
      <items count="7">
        <item x="4"/>
        <item x="3"/>
        <item x="1"/>
        <item x="0"/>
        <item x="2"/>
        <item x="5"/>
        <item t="default"/>
      </items>
    </pivotField>
    <pivotField dataField="1" showAll="0"/>
    <pivotField showAll="0">
      <items count="7">
        <item x="1"/>
        <item x="4"/>
        <item x="3"/>
        <item x="2"/>
        <item x="0"/>
        <item x="5"/>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7">
    <i>
      <x/>
    </i>
    <i>
      <x v="1"/>
    </i>
    <i>
      <x v="2"/>
    </i>
    <i>
      <x v="3"/>
    </i>
    <i>
      <x v="4"/>
    </i>
    <i>
      <x v="5"/>
    </i>
    <i t="grand">
      <x/>
    </i>
  </rowItems>
  <colItems count="1">
    <i/>
  </colItems>
  <dataFields count="1">
    <dataField name="Sum of Monto pagado" fld="7" baseField="0" baseItem="0"/>
  </dataFields>
  <formats count="2">
    <format dxfId="159">
      <pivotArea collapsedLevelsAreSubtotals="1" fieldPosition="0">
        <references count="1">
          <reference field="6" count="0"/>
        </references>
      </pivotArea>
    </format>
    <format dxfId="158">
      <pivotArea dataOnly="0" labelOnly="1" fieldPosition="0">
        <references count="1">
          <reference field="6" count="0"/>
        </references>
      </pivotArea>
    </format>
  </formats>
  <chartFormats count="11">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6" count="1" selected="0">
            <x v="4"/>
          </reference>
        </references>
      </pivotArea>
    </chartFormat>
    <chartFormat chart="8" format="4">
      <pivotArea type="data" outline="0" fieldPosition="0">
        <references count="2">
          <reference field="4294967294" count="1" selected="0">
            <x v="0"/>
          </reference>
          <reference field="6" count="1" selected="0">
            <x v="3"/>
          </reference>
        </references>
      </pivotArea>
    </chartFormat>
    <chartFormat chart="8" format="5">
      <pivotArea type="data" outline="0" fieldPosition="0">
        <references count="2">
          <reference field="4294967294" count="1" selected="0">
            <x v="0"/>
          </reference>
          <reference field="6" count="1" selected="0">
            <x v="2"/>
          </reference>
        </references>
      </pivotArea>
    </chartFormat>
    <chartFormat chart="8" format="6">
      <pivotArea type="data" outline="0" fieldPosition="0">
        <references count="2">
          <reference field="4294967294" count="1" selected="0">
            <x v="0"/>
          </reference>
          <reference field="6" count="1" selected="0">
            <x v="1"/>
          </reference>
        </references>
      </pivotArea>
    </chartFormat>
    <chartFormat chart="8" format="7">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B581E19-9B11-CE43-BA85-D10BBD944CB5}" name="Indicador 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14">
    <pivotField showAll="0">
      <items count="124">
        <item x="14"/>
        <item x="61"/>
        <item x="7"/>
        <item x="97"/>
        <item x="68"/>
        <item x="95"/>
        <item x="93"/>
        <item x="83"/>
        <item x="52"/>
        <item x="20"/>
        <item x="77"/>
        <item x="107"/>
        <item x="109"/>
        <item x="39"/>
        <item x="47"/>
        <item x="33"/>
        <item x="41"/>
        <item x="26"/>
        <item x="92"/>
        <item x="79"/>
        <item x="13"/>
        <item x="63"/>
        <item x="65"/>
        <item x="104"/>
        <item x="86"/>
        <item x="46"/>
        <item x="44"/>
        <item x="21"/>
        <item x="64"/>
        <item x="34"/>
        <item x="43"/>
        <item x="85"/>
        <item x="5"/>
        <item x="0"/>
        <item x="118"/>
        <item x="89"/>
        <item x="49"/>
        <item x="120"/>
        <item x="119"/>
        <item x="4"/>
        <item x="3"/>
        <item x="10"/>
        <item x="60"/>
        <item x="22"/>
        <item x="6"/>
        <item x="102"/>
        <item x="12"/>
        <item x="57"/>
        <item x="55"/>
        <item x="106"/>
        <item x="94"/>
        <item x="18"/>
        <item x="111"/>
        <item x="24"/>
        <item x="112"/>
        <item x="35"/>
        <item x="25"/>
        <item x="16"/>
        <item x="11"/>
        <item x="80"/>
        <item x="113"/>
        <item x="53"/>
        <item x="90"/>
        <item x="110"/>
        <item x="69"/>
        <item x="81"/>
        <item x="36"/>
        <item x="66"/>
        <item x="38"/>
        <item x="2"/>
        <item x="28"/>
        <item x="101"/>
        <item x="62"/>
        <item x="17"/>
        <item x="32"/>
        <item x="115"/>
        <item x="59"/>
        <item x="23"/>
        <item x="74"/>
        <item x="58"/>
        <item x="103"/>
        <item x="19"/>
        <item x="73"/>
        <item x="84"/>
        <item x="40"/>
        <item x="117"/>
        <item x="50"/>
        <item x="70"/>
        <item x="29"/>
        <item x="1"/>
        <item x="91"/>
        <item x="87"/>
        <item x="45"/>
        <item x="78"/>
        <item x="76"/>
        <item x="15"/>
        <item x="98"/>
        <item x="88"/>
        <item x="27"/>
        <item x="100"/>
        <item x="99"/>
        <item x="71"/>
        <item x="9"/>
        <item x="96"/>
        <item x="8"/>
        <item x="42"/>
        <item x="31"/>
        <item x="105"/>
        <item x="67"/>
        <item x="114"/>
        <item x="75"/>
        <item x="30"/>
        <item x="72"/>
        <item x="121"/>
        <item x="82"/>
        <item x="54"/>
        <item x="108"/>
        <item x="116"/>
        <item x="48"/>
        <item x="37"/>
        <item x="51"/>
        <item x="56"/>
        <item x="122"/>
        <item t="default"/>
      </items>
    </pivotField>
    <pivotField showAll="0"/>
    <pivotField showAll="0">
      <items count="7">
        <item x="2"/>
        <item x="3"/>
        <item x="1"/>
        <item x="4"/>
        <item x="0"/>
        <item x="5"/>
        <item t="default"/>
      </items>
    </pivotField>
    <pivotField showAll="0"/>
    <pivotField showAll="0"/>
    <pivotField showAll="0">
      <items count="4">
        <item x="1"/>
        <item x="0"/>
        <item x="2"/>
        <item t="default"/>
      </items>
    </pivotField>
    <pivotField showAll="0">
      <items count="7">
        <item x="4"/>
        <item x="3"/>
        <item x="1"/>
        <item x="0"/>
        <item x="2"/>
        <item x="5"/>
        <item t="default"/>
      </items>
    </pivotField>
    <pivotField dataField="1" showAll="0"/>
    <pivotField showAll="0">
      <items count="7">
        <item x="1"/>
        <item x="4"/>
        <item x="3"/>
        <item x="2"/>
        <item x="0"/>
        <item x="5"/>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Monto pagado"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C095CAC-1DFD-AF44-8D5C-8868E2E8FD40}" name="Indicador 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A9" firstHeaderRow="1" firstDataRow="1" firstDataCol="0"/>
  <pivotFields count="14">
    <pivotField showAll="0">
      <items count="124">
        <item x="14"/>
        <item x="61"/>
        <item x="7"/>
        <item x="97"/>
        <item x="68"/>
        <item x="95"/>
        <item x="93"/>
        <item x="83"/>
        <item x="52"/>
        <item x="20"/>
        <item x="77"/>
        <item x="107"/>
        <item x="109"/>
        <item x="39"/>
        <item x="47"/>
        <item x="33"/>
        <item x="41"/>
        <item x="26"/>
        <item x="92"/>
        <item x="79"/>
        <item x="13"/>
        <item x="63"/>
        <item x="65"/>
        <item x="104"/>
        <item x="86"/>
        <item x="46"/>
        <item x="44"/>
        <item x="21"/>
        <item x="64"/>
        <item x="34"/>
        <item x="43"/>
        <item x="85"/>
        <item x="5"/>
        <item x="0"/>
        <item x="118"/>
        <item x="89"/>
        <item x="49"/>
        <item x="120"/>
        <item x="119"/>
        <item x="4"/>
        <item x="3"/>
        <item x="10"/>
        <item x="60"/>
        <item x="22"/>
        <item x="6"/>
        <item x="102"/>
        <item x="12"/>
        <item x="57"/>
        <item x="55"/>
        <item x="106"/>
        <item x="94"/>
        <item x="18"/>
        <item x="111"/>
        <item x="24"/>
        <item x="112"/>
        <item x="35"/>
        <item x="25"/>
        <item x="16"/>
        <item x="11"/>
        <item x="80"/>
        <item x="113"/>
        <item x="53"/>
        <item x="90"/>
        <item x="110"/>
        <item x="69"/>
        <item x="81"/>
        <item x="36"/>
        <item x="66"/>
        <item x="38"/>
        <item x="2"/>
        <item x="28"/>
        <item x="101"/>
        <item x="62"/>
        <item x="17"/>
        <item x="32"/>
        <item x="115"/>
        <item x="59"/>
        <item x="23"/>
        <item x="74"/>
        <item x="58"/>
        <item x="103"/>
        <item x="19"/>
        <item x="73"/>
        <item x="84"/>
        <item x="40"/>
        <item x="117"/>
        <item x="50"/>
        <item x="70"/>
        <item x="29"/>
        <item x="1"/>
        <item x="91"/>
        <item x="87"/>
        <item x="45"/>
        <item x="78"/>
        <item x="76"/>
        <item x="15"/>
        <item x="98"/>
        <item x="88"/>
        <item x="27"/>
        <item x="100"/>
        <item x="99"/>
        <item x="71"/>
        <item x="9"/>
        <item x="96"/>
        <item x="8"/>
        <item x="42"/>
        <item x="31"/>
        <item x="105"/>
        <item x="67"/>
        <item x="114"/>
        <item x="75"/>
        <item x="30"/>
        <item x="72"/>
        <item x="121"/>
        <item x="82"/>
        <item x="54"/>
        <item x="108"/>
        <item x="116"/>
        <item x="48"/>
        <item x="37"/>
        <item x="51"/>
        <item x="56"/>
        <item x="122"/>
        <item t="default"/>
      </items>
    </pivotField>
    <pivotField dataField="1" showAll="0"/>
    <pivotField showAll="0">
      <items count="7">
        <item x="2"/>
        <item x="3"/>
        <item x="1"/>
        <item x="4"/>
        <item x="0"/>
        <item x="5"/>
        <item t="default"/>
      </items>
    </pivotField>
    <pivotField showAll="0"/>
    <pivotField showAll="0"/>
    <pivotField showAll="0">
      <items count="4">
        <item x="1"/>
        <item x="0"/>
        <item x="2"/>
        <item t="default"/>
      </items>
    </pivotField>
    <pivotField showAll="0">
      <items count="7">
        <item x="4"/>
        <item x="3"/>
        <item x="1"/>
        <item x="0"/>
        <item x="2"/>
        <item x="5"/>
        <item t="default"/>
      </items>
    </pivotField>
    <pivotField showAll="0"/>
    <pivotField showAll="0">
      <items count="7">
        <item x="1"/>
        <item x="4"/>
        <item x="3"/>
        <item x="2"/>
        <item x="0"/>
        <item x="5"/>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Numero de clientes"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Fecha_del_servicio" xr10:uid="{61DFBD8C-54E7-DB40-AAC9-FA36A4B03A46}" sourceName="Months (Fecha del servicio)">
  <pivotTables>
    <pivotTable tabId="3" name="PivotTable3"/>
  </pivotTables>
  <data>
    <tabular pivotCacheId="2004738799">
      <items count="14">
        <i x="1" s="1"/>
        <i x="2" s="1"/>
        <i x="3" s="1"/>
        <i x="4" s="1"/>
        <i x="5" s="1"/>
        <i x="6" s="1"/>
        <i x="7" s="1"/>
        <i x="8" s="1"/>
        <i x="9" s="1"/>
        <i x="10" s="1"/>
        <i x="11" s="1"/>
        <i x="12" s="1"/>
        <i x="13" s="1" nd="1"/>
        <i x="0"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nimal" xr10:uid="{07FDD6E0-7071-9143-8EF4-89D2CBDD2D6D}" sourceName="Animal">
  <pivotTables>
    <pivotTable tabId="3" name="PivotTable4"/>
    <pivotTable tabId="3" name="Indicador 1"/>
    <pivotTable tabId="3" name="Indicador 2"/>
    <pivotTable tabId="3" name="PivotTable1"/>
    <pivotTable tabId="3" name="PivotTable2"/>
    <pivotTable tabId="3" name="PivotTable3"/>
  </pivotTables>
  <data>
    <tabular pivotCacheId="2004738799">
      <items count="6">
        <i x="2" s="1"/>
        <i x="3" s="1"/>
        <i x="1" s="1"/>
        <i x="4" s="1"/>
        <i x="0" s="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vicio_recibido" xr10:uid="{2FB0150E-0AAA-EA4B-8845-E5CE5ED3B6EC}" sourceName="Servicio recibido">
  <pivotTables>
    <pivotTable tabId="3" name="PivotTable4"/>
    <pivotTable tabId="3" name="Indicador 1"/>
    <pivotTable tabId="3" name="Indicador 2"/>
    <pivotTable tabId="3" name="PivotTable1"/>
    <pivotTable tabId="3" name="PivotTable2"/>
    <pivotTable tabId="3" name="PivotTable3"/>
  </pivotTables>
  <data>
    <tabular pivotCacheId="2004738799">
      <items count="6">
        <i x="4" s="1"/>
        <i x="3" s="1"/>
        <i x="1" s="1"/>
        <i x="0" s="1"/>
        <i x="2" s="1"/>
        <i x="5"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dico_Veterinario_que_atendió" xr10:uid="{A0141B69-E29C-864F-9286-2FE4F39E70A9}" sourceName="Medico Veterinario que atendió">
  <pivotTables>
    <pivotTable tabId="3" name="PivotTable4"/>
    <pivotTable tabId="3" name="Indicador 1"/>
    <pivotTable tabId="3" name="Indicador 2"/>
    <pivotTable tabId="3" name="PivotTable1"/>
    <pivotTable tabId="3" name="PivotTable2"/>
    <pivotTable tabId="3" name="PivotTable3"/>
  </pivotTables>
  <data>
    <tabular pivotCacheId="2004738799">
      <items count="6">
        <i x="1" s="1"/>
        <i x="4" s="1"/>
        <i x="3" s="1"/>
        <i x="2" s="1"/>
        <i x="0" s="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Fecha del servicio) 1" xr10:uid="{5BE18646-2F99-0C4D-8B42-208A6913536F}" cache="Slicer_Months__Fecha_del_servicio" caption="Months (Fecha del servicio)" columnCount="4" rowHeight="230716"/>
  <slicer name="Animal" xr10:uid="{1AC0C7FD-1727-D642-9DE2-CC06D26B62EE}" cache="Slicer_Animal" caption="Animal" style="SlicerStyleDark1" rowHeight="230716"/>
  <slicer name="Servicio recibido" xr10:uid="{875C9407-4E69-9F4C-8A4E-B3CC5DB7D34C}" cache="Slicer_Servicio_recibido" caption="Servicio recibido" style="SlicerStyleDark1" rowHeight="230716"/>
  <slicer name="Medico Veterinario que atendió" xr10:uid="{278478DD-F491-F942-A931-7DB907595CF7}" cache="Slicer_Medico_Veterinario_que_atendió" caption="Medico Veterinario que atendió" style="SlicerStyleDark1"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9F8CF19-67B9-A040-A9F4-74B4FFCDADF2}" name="Table1" displayName="Table1" ref="A1:L151" totalsRowShown="0">
  <autoFilter ref="A1:L151" xr:uid="{89F8CF19-67B9-A040-A9F4-74B4FFCDADF2}"/>
  <tableColumns count="12">
    <tableColumn id="1" xr3:uid="{835D5600-3FD0-304C-92C9-96F3D43F6644}" name="Fecha del servicio" dataDxfId="160"/>
    <tableColumn id="2" xr3:uid="{E392C439-6586-DB4F-BC26-732DF5811E53}" name="Nombre cliente"/>
    <tableColumn id="3" xr3:uid="{42D53632-004B-F64D-96BC-C90C24624E3B}" name="Animal"/>
    <tableColumn id="4" xr3:uid="{30F64BC5-79A1-E241-9350-8E9D02F35641}" name="Raza mascota"/>
    <tableColumn id="5" xr3:uid="{159C588F-0AEF-1349-9E3F-28EA9EE8FA83}" name="Nombre paciente"/>
    <tableColumn id="6" xr3:uid="{5FAC42AB-7B23-8041-B4A0-A7B311D80C20}" name="Esterilizado?"/>
    <tableColumn id="7" xr3:uid="{646796DC-E327-034D-89AF-651C8696F228}" name="Servicio recibido"/>
    <tableColumn id="8" xr3:uid="{C34E5EBB-1BD7-F841-BD89-268C8C61A3B7}" name="Monto pagado"/>
    <tableColumn id="9" xr3:uid="{EBBE18C3-F088-9A47-8A21-83AA58F613AA}" name="Medico Veterinario que atendió"/>
    <tableColumn id="10" xr3:uid="{F6E0E17C-A809-184C-894E-CC1EEAE362AE}" name="Diagnóstico"/>
    <tableColumn id="11" xr3:uid="{0F05154A-D621-2D48-A9E6-0471773F293B}" name="Tratamiento"/>
    <tableColumn id="12" xr3:uid="{F2F2B5DA-AEBC-114B-807F-787FAF08C888}" name="Reg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6BE2C-97CD-4048-BB41-D102694F3854}">
  <dimension ref="A1:L151"/>
  <sheetViews>
    <sheetView workbookViewId="0">
      <selection sqref="A1:XFD1048576"/>
    </sheetView>
  </sheetViews>
  <sheetFormatPr baseColWidth="10" defaultColWidth="8.83203125" defaultRowHeight="15" x14ac:dyDescent="0.2"/>
  <cols>
    <col min="1" max="1" width="16.5" customWidth="1"/>
    <col min="2" max="2" width="16.1640625" customWidth="1"/>
    <col min="4" max="4" width="32.1640625" customWidth="1"/>
    <col min="5" max="5" width="21" customWidth="1"/>
    <col min="6" max="6" width="18.33203125" customWidth="1"/>
    <col min="7" max="7" width="19.33203125" customWidth="1"/>
    <col min="8" max="8" width="18.1640625" customWidth="1"/>
    <col min="9" max="9" width="28" customWidth="1"/>
    <col min="10" max="10" width="19" customWidth="1"/>
    <col min="11" max="11" width="15.5" customWidth="1"/>
    <col min="12" max="12" width="13" customWidth="1"/>
  </cols>
  <sheetData>
    <row r="1" spans="1:12" x14ac:dyDescent="0.2">
      <c r="A1" t="s">
        <v>0</v>
      </c>
      <c r="B1" t="s">
        <v>1</v>
      </c>
      <c r="C1" t="s">
        <v>2</v>
      </c>
      <c r="D1" t="s">
        <v>3</v>
      </c>
      <c r="E1" t="s">
        <v>4</v>
      </c>
      <c r="F1" t="s">
        <v>5</v>
      </c>
      <c r="G1" t="s">
        <v>6</v>
      </c>
      <c r="H1" t="s">
        <v>7</v>
      </c>
      <c r="I1" t="s">
        <v>8</v>
      </c>
      <c r="J1" t="s">
        <v>9</v>
      </c>
      <c r="K1" t="s">
        <v>10</v>
      </c>
      <c r="L1" t="s">
        <v>417</v>
      </c>
    </row>
    <row r="2" spans="1:12" x14ac:dyDescent="0.2">
      <c r="A2" s="1">
        <v>45387</v>
      </c>
      <c r="B2" t="s">
        <v>11</v>
      </c>
      <c r="C2" t="s">
        <v>12</v>
      </c>
      <c r="D2" t="s">
        <v>13</v>
      </c>
      <c r="E2" t="s">
        <v>14</v>
      </c>
      <c r="F2" t="s">
        <v>15</v>
      </c>
      <c r="G2" t="s">
        <v>415</v>
      </c>
      <c r="H2">
        <v>84196</v>
      </c>
      <c r="I2" t="s">
        <v>16</v>
      </c>
      <c r="J2" t="s">
        <v>17</v>
      </c>
      <c r="K2" t="s">
        <v>18</v>
      </c>
      <c r="L2" t="s">
        <v>418</v>
      </c>
    </row>
    <row r="3" spans="1:12" x14ac:dyDescent="0.2">
      <c r="A3" s="1">
        <v>45535</v>
      </c>
      <c r="B3" t="s">
        <v>19</v>
      </c>
      <c r="C3" t="s">
        <v>12</v>
      </c>
      <c r="D3" t="s">
        <v>20</v>
      </c>
      <c r="E3" t="s">
        <v>21</v>
      </c>
      <c r="F3" t="s">
        <v>15</v>
      </c>
      <c r="G3" t="s">
        <v>22</v>
      </c>
      <c r="H3">
        <v>130604</v>
      </c>
      <c r="I3" t="s">
        <v>23</v>
      </c>
      <c r="J3" t="s">
        <v>24</v>
      </c>
      <c r="K3" t="s">
        <v>25</v>
      </c>
      <c r="L3" t="s">
        <v>419</v>
      </c>
    </row>
    <row r="4" spans="1:12" x14ac:dyDescent="0.2">
      <c r="A4" s="1">
        <v>45471</v>
      </c>
      <c r="B4" t="s">
        <v>26</v>
      </c>
      <c r="C4" t="s">
        <v>27</v>
      </c>
      <c r="D4" t="s">
        <v>28</v>
      </c>
      <c r="E4" t="s">
        <v>29</v>
      </c>
      <c r="F4" t="s">
        <v>15</v>
      </c>
      <c r="G4" t="s">
        <v>22</v>
      </c>
      <c r="H4">
        <v>177815</v>
      </c>
      <c r="I4" t="s">
        <v>23</v>
      </c>
      <c r="J4" t="s">
        <v>30</v>
      </c>
      <c r="K4" t="s">
        <v>31</v>
      </c>
      <c r="L4" t="s">
        <v>420</v>
      </c>
    </row>
    <row r="5" spans="1:12" x14ac:dyDescent="0.2">
      <c r="A5" s="1">
        <v>45410</v>
      </c>
      <c r="B5" t="s">
        <v>32</v>
      </c>
      <c r="C5" t="s">
        <v>33</v>
      </c>
      <c r="D5" t="s">
        <v>34</v>
      </c>
      <c r="E5" t="s">
        <v>35</v>
      </c>
      <c r="F5" t="s">
        <v>36</v>
      </c>
      <c r="G5" t="s">
        <v>416</v>
      </c>
      <c r="H5">
        <v>137757</v>
      </c>
      <c r="I5" t="s">
        <v>37</v>
      </c>
      <c r="J5" t="s">
        <v>38</v>
      </c>
      <c r="K5" t="s">
        <v>25</v>
      </c>
      <c r="L5" t="s">
        <v>421</v>
      </c>
    </row>
    <row r="6" spans="1:12" x14ac:dyDescent="0.2">
      <c r="A6" s="1">
        <v>45407</v>
      </c>
      <c r="B6" t="s">
        <v>39</v>
      </c>
      <c r="C6" t="s">
        <v>27</v>
      </c>
      <c r="D6" t="s">
        <v>40</v>
      </c>
      <c r="E6" t="s">
        <v>41</v>
      </c>
      <c r="F6" t="s">
        <v>36</v>
      </c>
      <c r="G6" t="s">
        <v>415</v>
      </c>
      <c r="H6">
        <v>92842</v>
      </c>
      <c r="I6" t="s">
        <v>16</v>
      </c>
      <c r="J6" t="s">
        <v>17</v>
      </c>
      <c r="K6" t="s">
        <v>42</v>
      </c>
      <c r="L6" t="s">
        <v>421</v>
      </c>
    </row>
    <row r="7" spans="1:12" x14ac:dyDescent="0.2">
      <c r="A7" s="1">
        <v>45385</v>
      </c>
      <c r="B7" t="s">
        <v>43</v>
      </c>
      <c r="C7" t="s">
        <v>12</v>
      </c>
      <c r="D7" t="s">
        <v>44</v>
      </c>
      <c r="E7" t="s">
        <v>45</v>
      </c>
      <c r="F7" t="s">
        <v>15</v>
      </c>
      <c r="G7" t="s">
        <v>46</v>
      </c>
      <c r="H7">
        <v>45353</v>
      </c>
      <c r="I7" t="s">
        <v>47</v>
      </c>
      <c r="J7" t="s">
        <v>38</v>
      </c>
      <c r="K7" t="s">
        <v>48</v>
      </c>
      <c r="L7" t="s">
        <v>422</v>
      </c>
    </row>
    <row r="8" spans="1:12" x14ac:dyDescent="0.2">
      <c r="A8" s="1">
        <v>45418</v>
      </c>
      <c r="B8" t="s">
        <v>49</v>
      </c>
      <c r="C8" t="s">
        <v>50</v>
      </c>
      <c r="D8" t="s">
        <v>51</v>
      </c>
      <c r="E8" t="s">
        <v>52</v>
      </c>
      <c r="F8" t="s">
        <v>15</v>
      </c>
      <c r="G8" t="s">
        <v>46</v>
      </c>
      <c r="H8">
        <v>160568</v>
      </c>
      <c r="I8" t="s">
        <v>23</v>
      </c>
      <c r="J8" t="s">
        <v>53</v>
      </c>
      <c r="K8" t="s">
        <v>25</v>
      </c>
      <c r="L8" t="s">
        <v>423</v>
      </c>
    </row>
    <row r="9" spans="1:12" x14ac:dyDescent="0.2">
      <c r="A9" s="1">
        <v>45302</v>
      </c>
      <c r="B9" t="s">
        <v>54</v>
      </c>
      <c r="C9" t="s">
        <v>33</v>
      </c>
      <c r="D9" t="s">
        <v>55</v>
      </c>
      <c r="E9" t="s">
        <v>56</v>
      </c>
      <c r="F9" t="s">
        <v>36</v>
      </c>
      <c r="G9" t="s">
        <v>22</v>
      </c>
      <c r="H9">
        <v>114800</v>
      </c>
      <c r="I9" t="s">
        <v>37</v>
      </c>
      <c r="J9" t="s">
        <v>17</v>
      </c>
      <c r="K9" t="s">
        <v>18</v>
      </c>
      <c r="L9" t="s">
        <v>421</v>
      </c>
    </row>
    <row r="10" spans="1:12" x14ac:dyDescent="0.2">
      <c r="A10" s="1">
        <v>45584</v>
      </c>
      <c r="B10" t="s">
        <v>57</v>
      </c>
      <c r="C10" t="s">
        <v>12</v>
      </c>
      <c r="D10" t="s">
        <v>58</v>
      </c>
      <c r="E10" t="s">
        <v>59</v>
      </c>
      <c r="F10" t="s">
        <v>15</v>
      </c>
      <c r="G10" t="s">
        <v>416</v>
      </c>
      <c r="H10">
        <v>95861</v>
      </c>
      <c r="I10" t="s">
        <v>23</v>
      </c>
      <c r="J10" t="s">
        <v>17</v>
      </c>
      <c r="K10" t="s">
        <v>25</v>
      </c>
      <c r="L10" t="s">
        <v>424</v>
      </c>
    </row>
    <row r="11" spans="1:12" x14ac:dyDescent="0.2">
      <c r="A11" s="1">
        <v>45568</v>
      </c>
      <c r="B11" t="s">
        <v>60</v>
      </c>
      <c r="C11" t="s">
        <v>61</v>
      </c>
      <c r="D11" t="s">
        <v>62</v>
      </c>
      <c r="E11" t="s">
        <v>63</v>
      </c>
      <c r="F11" t="s">
        <v>36</v>
      </c>
      <c r="G11" t="s">
        <v>46</v>
      </c>
      <c r="H11">
        <v>186640</v>
      </c>
      <c r="I11" t="s">
        <v>47</v>
      </c>
      <c r="J11" t="s">
        <v>17</v>
      </c>
      <c r="K11" t="s">
        <v>42</v>
      </c>
      <c r="L11" t="s">
        <v>418</v>
      </c>
    </row>
    <row r="12" spans="1:12" x14ac:dyDescent="0.2">
      <c r="A12" s="1">
        <v>45411</v>
      </c>
      <c r="B12" t="s">
        <v>64</v>
      </c>
      <c r="C12" t="s">
        <v>50</v>
      </c>
      <c r="D12" t="s">
        <v>65</v>
      </c>
      <c r="E12" t="s">
        <v>66</v>
      </c>
      <c r="F12" t="s">
        <v>15</v>
      </c>
      <c r="G12" t="s">
        <v>415</v>
      </c>
      <c r="H12">
        <v>199187</v>
      </c>
      <c r="I12" t="s">
        <v>23</v>
      </c>
      <c r="J12" t="s">
        <v>30</v>
      </c>
      <c r="K12" t="s">
        <v>18</v>
      </c>
      <c r="L12" t="s">
        <v>425</v>
      </c>
    </row>
    <row r="13" spans="1:12" x14ac:dyDescent="0.2">
      <c r="A13" s="1">
        <v>45441</v>
      </c>
      <c r="B13" t="s">
        <v>67</v>
      </c>
      <c r="C13" t="s">
        <v>27</v>
      </c>
      <c r="D13" t="s">
        <v>68</v>
      </c>
      <c r="E13" t="s">
        <v>66</v>
      </c>
      <c r="F13" t="s">
        <v>15</v>
      </c>
      <c r="G13" t="s">
        <v>416</v>
      </c>
      <c r="H13">
        <v>141178</v>
      </c>
      <c r="I13" t="s">
        <v>69</v>
      </c>
      <c r="J13" t="s">
        <v>38</v>
      </c>
      <c r="K13" t="s">
        <v>18</v>
      </c>
      <c r="L13" t="s">
        <v>420</v>
      </c>
    </row>
    <row r="14" spans="1:12" x14ac:dyDescent="0.2">
      <c r="A14" s="1">
        <v>45421</v>
      </c>
      <c r="B14" t="s">
        <v>70</v>
      </c>
      <c r="C14" t="s">
        <v>33</v>
      </c>
      <c r="D14" t="s">
        <v>71</v>
      </c>
      <c r="E14" t="s">
        <v>21</v>
      </c>
      <c r="F14" t="s">
        <v>15</v>
      </c>
      <c r="G14" t="s">
        <v>415</v>
      </c>
      <c r="H14">
        <v>34663</v>
      </c>
      <c r="I14" t="s">
        <v>16</v>
      </c>
      <c r="J14" t="s">
        <v>24</v>
      </c>
      <c r="K14" t="s">
        <v>42</v>
      </c>
      <c r="L14" t="s">
        <v>426</v>
      </c>
    </row>
    <row r="15" spans="1:12" x14ac:dyDescent="0.2">
      <c r="A15" s="1">
        <v>45358</v>
      </c>
      <c r="B15" t="s">
        <v>72</v>
      </c>
      <c r="C15" t="s">
        <v>61</v>
      </c>
      <c r="D15" t="s">
        <v>73</v>
      </c>
      <c r="E15" t="s">
        <v>74</v>
      </c>
      <c r="F15" t="s">
        <v>36</v>
      </c>
      <c r="G15" t="s">
        <v>75</v>
      </c>
      <c r="H15">
        <v>75307</v>
      </c>
      <c r="I15" t="s">
        <v>37</v>
      </c>
      <c r="J15" t="s">
        <v>76</v>
      </c>
      <c r="K15" t="s">
        <v>42</v>
      </c>
      <c r="L15" t="s">
        <v>420</v>
      </c>
    </row>
    <row r="16" spans="1:12" x14ac:dyDescent="0.2">
      <c r="A16" s="1">
        <v>45297</v>
      </c>
      <c r="B16" t="s">
        <v>77</v>
      </c>
      <c r="C16" t="s">
        <v>27</v>
      </c>
      <c r="D16" t="s">
        <v>78</v>
      </c>
      <c r="E16" t="s">
        <v>79</v>
      </c>
      <c r="F16" t="s">
        <v>36</v>
      </c>
      <c r="G16" t="s">
        <v>46</v>
      </c>
      <c r="H16">
        <v>188519</v>
      </c>
      <c r="I16" t="s">
        <v>69</v>
      </c>
      <c r="J16" t="s">
        <v>17</v>
      </c>
      <c r="K16" t="s">
        <v>42</v>
      </c>
      <c r="L16" t="s">
        <v>422</v>
      </c>
    </row>
    <row r="17" spans="1:12" x14ac:dyDescent="0.2">
      <c r="A17" s="1">
        <v>45550</v>
      </c>
      <c r="B17" t="s">
        <v>80</v>
      </c>
      <c r="C17" t="s">
        <v>27</v>
      </c>
      <c r="D17" t="s">
        <v>73</v>
      </c>
      <c r="E17" t="s">
        <v>81</v>
      </c>
      <c r="F17" t="s">
        <v>15</v>
      </c>
      <c r="G17" t="s">
        <v>22</v>
      </c>
      <c r="H17">
        <v>161289</v>
      </c>
      <c r="I17" t="s">
        <v>47</v>
      </c>
      <c r="J17" t="s">
        <v>76</v>
      </c>
      <c r="K17" t="s">
        <v>48</v>
      </c>
      <c r="L17" t="s">
        <v>427</v>
      </c>
    </row>
    <row r="18" spans="1:12" x14ac:dyDescent="0.2">
      <c r="A18" s="1">
        <v>45440</v>
      </c>
      <c r="B18" t="s">
        <v>82</v>
      </c>
      <c r="C18" t="s">
        <v>61</v>
      </c>
      <c r="D18" t="s">
        <v>83</v>
      </c>
      <c r="E18" t="s">
        <v>84</v>
      </c>
      <c r="F18" t="s">
        <v>36</v>
      </c>
      <c r="G18" t="s">
        <v>415</v>
      </c>
      <c r="H18">
        <v>77493</v>
      </c>
      <c r="I18" t="s">
        <v>16</v>
      </c>
      <c r="J18" t="s">
        <v>30</v>
      </c>
      <c r="K18" t="s">
        <v>85</v>
      </c>
      <c r="L18" t="s">
        <v>421</v>
      </c>
    </row>
    <row r="19" spans="1:12" x14ac:dyDescent="0.2">
      <c r="A19" s="1">
        <v>45485</v>
      </c>
      <c r="B19" t="s">
        <v>86</v>
      </c>
      <c r="C19" t="s">
        <v>12</v>
      </c>
      <c r="D19" t="s">
        <v>87</v>
      </c>
      <c r="E19" t="s">
        <v>88</v>
      </c>
      <c r="F19" t="s">
        <v>15</v>
      </c>
      <c r="G19" t="s">
        <v>75</v>
      </c>
      <c r="H19">
        <v>60066</v>
      </c>
      <c r="I19" t="s">
        <v>16</v>
      </c>
      <c r="J19" t="s">
        <v>76</v>
      </c>
      <c r="K19" t="s">
        <v>85</v>
      </c>
      <c r="L19" t="s">
        <v>424</v>
      </c>
    </row>
    <row r="20" spans="1:12" x14ac:dyDescent="0.2">
      <c r="A20" s="1">
        <v>45429</v>
      </c>
      <c r="B20" t="s">
        <v>89</v>
      </c>
      <c r="C20" t="s">
        <v>33</v>
      </c>
      <c r="D20" t="s">
        <v>90</v>
      </c>
      <c r="E20" t="s">
        <v>91</v>
      </c>
      <c r="F20" t="s">
        <v>15</v>
      </c>
      <c r="G20" t="s">
        <v>46</v>
      </c>
      <c r="H20">
        <v>120039</v>
      </c>
      <c r="I20" t="s">
        <v>37</v>
      </c>
      <c r="J20" t="s">
        <v>53</v>
      </c>
      <c r="K20" t="s">
        <v>48</v>
      </c>
      <c r="L20" t="s">
        <v>423</v>
      </c>
    </row>
    <row r="21" spans="1:12" x14ac:dyDescent="0.2">
      <c r="A21" s="1">
        <v>45358</v>
      </c>
      <c r="B21" t="s">
        <v>92</v>
      </c>
      <c r="C21" t="s">
        <v>50</v>
      </c>
      <c r="D21" t="s">
        <v>93</v>
      </c>
      <c r="E21" t="s">
        <v>94</v>
      </c>
      <c r="F21" t="s">
        <v>15</v>
      </c>
      <c r="G21" t="s">
        <v>75</v>
      </c>
      <c r="H21">
        <v>198706</v>
      </c>
      <c r="I21" t="s">
        <v>37</v>
      </c>
      <c r="J21" t="s">
        <v>38</v>
      </c>
      <c r="K21" t="s">
        <v>18</v>
      </c>
      <c r="L21" t="s">
        <v>422</v>
      </c>
    </row>
    <row r="22" spans="1:12" x14ac:dyDescent="0.2">
      <c r="A22" s="1">
        <v>45506</v>
      </c>
      <c r="B22" t="s">
        <v>95</v>
      </c>
      <c r="C22" t="s">
        <v>50</v>
      </c>
      <c r="D22" t="s">
        <v>96</v>
      </c>
      <c r="E22" t="s">
        <v>97</v>
      </c>
      <c r="F22" t="s">
        <v>15</v>
      </c>
      <c r="G22" t="s">
        <v>415</v>
      </c>
      <c r="H22">
        <v>133971</v>
      </c>
      <c r="I22" t="s">
        <v>16</v>
      </c>
      <c r="J22" t="s">
        <v>53</v>
      </c>
      <c r="K22" t="s">
        <v>25</v>
      </c>
      <c r="L22" t="s">
        <v>425</v>
      </c>
    </row>
    <row r="23" spans="1:12" x14ac:dyDescent="0.2">
      <c r="A23" s="1">
        <v>45325</v>
      </c>
      <c r="B23" t="s">
        <v>98</v>
      </c>
      <c r="C23" t="s">
        <v>50</v>
      </c>
      <c r="D23" t="s">
        <v>99</v>
      </c>
      <c r="E23" t="s">
        <v>100</v>
      </c>
      <c r="F23" t="s">
        <v>15</v>
      </c>
      <c r="G23" t="s">
        <v>22</v>
      </c>
      <c r="H23">
        <v>47894</v>
      </c>
      <c r="I23" t="s">
        <v>47</v>
      </c>
      <c r="J23" t="s">
        <v>76</v>
      </c>
      <c r="K23" t="s">
        <v>48</v>
      </c>
      <c r="L23" t="s">
        <v>421</v>
      </c>
    </row>
    <row r="24" spans="1:12" x14ac:dyDescent="0.2">
      <c r="A24" s="1">
        <v>45371</v>
      </c>
      <c r="B24" t="s">
        <v>101</v>
      </c>
      <c r="C24" t="s">
        <v>33</v>
      </c>
      <c r="D24" t="s">
        <v>102</v>
      </c>
      <c r="E24" t="s">
        <v>103</v>
      </c>
      <c r="F24" t="s">
        <v>15</v>
      </c>
      <c r="G24" t="s">
        <v>416</v>
      </c>
      <c r="H24">
        <v>118019</v>
      </c>
      <c r="I24" t="s">
        <v>16</v>
      </c>
      <c r="J24" t="s">
        <v>30</v>
      </c>
      <c r="K24" t="s">
        <v>48</v>
      </c>
      <c r="L24" t="s">
        <v>427</v>
      </c>
    </row>
    <row r="25" spans="1:12" x14ac:dyDescent="0.2">
      <c r="A25" s="1">
        <v>45416</v>
      </c>
      <c r="B25" t="s">
        <v>104</v>
      </c>
      <c r="C25" t="s">
        <v>12</v>
      </c>
      <c r="D25" t="s">
        <v>93</v>
      </c>
      <c r="E25" t="s">
        <v>105</v>
      </c>
      <c r="F25" t="s">
        <v>36</v>
      </c>
      <c r="G25" t="s">
        <v>46</v>
      </c>
      <c r="H25">
        <v>25105</v>
      </c>
      <c r="I25" t="s">
        <v>23</v>
      </c>
      <c r="J25" t="s">
        <v>38</v>
      </c>
      <c r="K25" t="s">
        <v>42</v>
      </c>
      <c r="L25" t="s">
        <v>426</v>
      </c>
    </row>
    <row r="26" spans="1:12" x14ac:dyDescent="0.2">
      <c r="A26" s="1">
        <v>45495</v>
      </c>
      <c r="B26" t="s">
        <v>106</v>
      </c>
      <c r="C26" t="s">
        <v>27</v>
      </c>
      <c r="D26" t="s">
        <v>107</v>
      </c>
      <c r="E26" t="s">
        <v>91</v>
      </c>
      <c r="F26" t="s">
        <v>15</v>
      </c>
      <c r="G26" t="s">
        <v>416</v>
      </c>
      <c r="H26">
        <v>168729</v>
      </c>
      <c r="I26" t="s">
        <v>23</v>
      </c>
      <c r="J26" t="s">
        <v>24</v>
      </c>
      <c r="K26" t="s">
        <v>18</v>
      </c>
      <c r="L26" t="s">
        <v>426</v>
      </c>
    </row>
    <row r="27" spans="1:12" x14ac:dyDescent="0.2">
      <c r="A27" s="1">
        <v>45431</v>
      </c>
      <c r="B27" t="s">
        <v>108</v>
      </c>
      <c r="C27" t="s">
        <v>61</v>
      </c>
      <c r="D27" t="s">
        <v>109</v>
      </c>
      <c r="E27" t="s">
        <v>110</v>
      </c>
      <c r="F27" t="s">
        <v>15</v>
      </c>
      <c r="G27" t="s">
        <v>22</v>
      </c>
      <c r="H27">
        <v>52967</v>
      </c>
      <c r="I27" t="s">
        <v>16</v>
      </c>
      <c r="J27" t="s">
        <v>76</v>
      </c>
      <c r="K27" t="s">
        <v>85</v>
      </c>
      <c r="L27" t="s">
        <v>419</v>
      </c>
    </row>
    <row r="28" spans="1:12" x14ac:dyDescent="0.2">
      <c r="A28" s="1">
        <v>45435</v>
      </c>
      <c r="B28" t="s">
        <v>111</v>
      </c>
      <c r="C28" t="s">
        <v>33</v>
      </c>
      <c r="D28" t="s">
        <v>112</v>
      </c>
      <c r="E28" t="s">
        <v>113</v>
      </c>
      <c r="F28" t="s">
        <v>15</v>
      </c>
      <c r="G28" t="s">
        <v>415</v>
      </c>
      <c r="H28">
        <v>158326</v>
      </c>
      <c r="I28" t="s">
        <v>37</v>
      </c>
      <c r="J28" t="s">
        <v>53</v>
      </c>
      <c r="K28" t="s">
        <v>31</v>
      </c>
      <c r="L28" t="s">
        <v>427</v>
      </c>
    </row>
    <row r="29" spans="1:12" x14ac:dyDescent="0.2">
      <c r="A29" s="1">
        <v>45410</v>
      </c>
      <c r="B29" t="s">
        <v>114</v>
      </c>
      <c r="C29" t="s">
        <v>33</v>
      </c>
      <c r="D29" t="s">
        <v>115</v>
      </c>
      <c r="E29" t="s">
        <v>116</v>
      </c>
      <c r="F29" t="s">
        <v>15</v>
      </c>
      <c r="G29" t="s">
        <v>415</v>
      </c>
      <c r="H29">
        <v>124593</v>
      </c>
      <c r="I29" t="s">
        <v>47</v>
      </c>
      <c r="J29" t="s">
        <v>53</v>
      </c>
      <c r="K29" t="s">
        <v>48</v>
      </c>
      <c r="L29" t="s">
        <v>425</v>
      </c>
    </row>
    <row r="30" spans="1:12" x14ac:dyDescent="0.2">
      <c r="A30" s="1">
        <v>45385</v>
      </c>
      <c r="B30" t="s">
        <v>117</v>
      </c>
      <c r="C30" t="s">
        <v>61</v>
      </c>
      <c r="D30" t="s">
        <v>58</v>
      </c>
      <c r="E30" t="s">
        <v>118</v>
      </c>
      <c r="F30" t="s">
        <v>15</v>
      </c>
      <c r="G30" t="s">
        <v>416</v>
      </c>
      <c r="H30">
        <v>78903</v>
      </c>
      <c r="I30" t="s">
        <v>23</v>
      </c>
      <c r="J30" t="s">
        <v>38</v>
      </c>
      <c r="K30" t="s">
        <v>25</v>
      </c>
      <c r="L30" t="s">
        <v>420</v>
      </c>
    </row>
    <row r="31" spans="1:12" x14ac:dyDescent="0.2">
      <c r="A31" s="1">
        <v>45353</v>
      </c>
      <c r="B31" t="s">
        <v>119</v>
      </c>
      <c r="C31" t="s">
        <v>33</v>
      </c>
      <c r="D31" t="s">
        <v>120</v>
      </c>
      <c r="E31" t="s">
        <v>121</v>
      </c>
      <c r="F31" t="s">
        <v>15</v>
      </c>
      <c r="G31" t="s">
        <v>22</v>
      </c>
      <c r="H31">
        <v>77728</v>
      </c>
      <c r="I31" t="s">
        <v>23</v>
      </c>
      <c r="J31" t="s">
        <v>24</v>
      </c>
      <c r="K31" t="s">
        <v>18</v>
      </c>
      <c r="L31" t="s">
        <v>425</v>
      </c>
    </row>
    <row r="32" spans="1:12" x14ac:dyDescent="0.2">
      <c r="A32" s="1">
        <v>45559</v>
      </c>
      <c r="B32" t="s">
        <v>122</v>
      </c>
      <c r="C32" t="s">
        <v>12</v>
      </c>
      <c r="D32" t="s">
        <v>99</v>
      </c>
      <c r="E32" t="s">
        <v>123</v>
      </c>
      <c r="F32" t="s">
        <v>15</v>
      </c>
      <c r="G32" t="s">
        <v>75</v>
      </c>
      <c r="H32">
        <v>28234</v>
      </c>
      <c r="I32" t="s">
        <v>47</v>
      </c>
      <c r="J32" t="s">
        <v>24</v>
      </c>
      <c r="K32" t="s">
        <v>48</v>
      </c>
      <c r="L32" t="s">
        <v>424</v>
      </c>
    </row>
    <row r="33" spans="1:12" x14ac:dyDescent="0.2">
      <c r="A33" s="1">
        <v>45472</v>
      </c>
      <c r="B33" t="s">
        <v>124</v>
      </c>
      <c r="C33" t="s">
        <v>27</v>
      </c>
      <c r="D33" t="s">
        <v>125</v>
      </c>
      <c r="E33" t="s">
        <v>126</v>
      </c>
      <c r="F33" t="s">
        <v>36</v>
      </c>
      <c r="G33" t="s">
        <v>46</v>
      </c>
      <c r="H33">
        <v>76160</v>
      </c>
      <c r="I33" t="s">
        <v>37</v>
      </c>
      <c r="J33" t="s">
        <v>17</v>
      </c>
      <c r="K33" t="s">
        <v>18</v>
      </c>
      <c r="L33" t="s">
        <v>418</v>
      </c>
    </row>
    <row r="34" spans="1:12" x14ac:dyDescent="0.2">
      <c r="A34" s="1">
        <v>45534</v>
      </c>
      <c r="B34" t="s">
        <v>127</v>
      </c>
      <c r="C34" t="s">
        <v>33</v>
      </c>
      <c r="D34" t="s">
        <v>128</v>
      </c>
      <c r="E34" t="s">
        <v>129</v>
      </c>
      <c r="F34" t="s">
        <v>36</v>
      </c>
      <c r="G34" t="s">
        <v>416</v>
      </c>
      <c r="H34">
        <v>143987</v>
      </c>
      <c r="I34" t="s">
        <v>69</v>
      </c>
      <c r="J34" t="s">
        <v>17</v>
      </c>
      <c r="K34" t="s">
        <v>25</v>
      </c>
      <c r="L34" t="s">
        <v>420</v>
      </c>
    </row>
    <row r="35" spans="1:12" x14ac:dyDescent="0.2">
      <c r="A35" s="1">
        <v>45601</v>
      </c>
      <c r="B35" t="s">
        <v>130</v>
      </c>
      <c r="C35" t="s">
        <v>12</v>
      </c>
      <c r="D35" t="s">
        <v>131</v>
      </c>
      <c r="E35" t="s">
        <v>132</v>
      </c>
      <c r="F35" t="s">
        <v>36</v>
      </c>
      <c r="G35" t="s">
        <v>415</v>
      </c>
      <c r="H35">
        <v>131038</v>
      </c>
      <c r="I35" t="s">
        <v>69</v>
      </c>
      <c r="J35" t="s">
        <v>53</v>
      </c>
      <c r="K35" t="s">
        <v>18</v>
      </c>
      <c r="L35" t="s">
        <v>424</v>
      </c>
    </row>
    <row r="36" spans="1:12" x14ac:dyDescent="0.2">
      <c r="A36" s="1">
        <v>45588</v>
      </c>
      <c r="B36" t="s">
        <v>133</v>
      </c>
      <c r="C36" t="s">
        <v>12</v>
      </c>
      <c r="D36" t="s">
        <v>13</v>
      </c>
      <c r="E36" t="s">
        <v>134</v>
      </c>
      <c r="F36" t="s">
        <v>15</v>
      </c>
      <c r="G36" t="s">
        <v>75</v>
      </c>
      <c r="H36">
        <v>125544</v>
      </c>
      <c r="I36" t="s">
        <v>47</v>
      </c>
      <c r="J36" t="s">
        <v>24</v>
      </c>
      <c r="K36" t="s">
        <v>31</v>
      </c>
      <c r="L36" t="s">
        <v>423</v>
      </c>
    </row>
    <row r="37" spans="1:12" x14ac:dyDescent="0.2">
      <c r="A37" s="1">
        <v>45486</v>
      </c>
      <c r="B37" t="s">
        <v>135</v>
      </c>
      <c r="C37" t="s">
        <v>27</v>
      </c>
      <c r="D37" t="s">
        <v>136</v>
      </c>
      <c r="E37" t="s">
        <v>137</v>
      </c>
      <c r="F37" t="s">
        <v>15</v>
      </c>
      <c r="G37" t="s">
        <v>22</v>
      </c>
      <c r="H37">
        <v>137601</v>
      </c>
      <c r="I37" t="s">
        <v>16</v>
      </c>
      <c r="J37" t="s">
        <v>53</v>
      </c>
      <c r="K37" t="s">
        <v>31</v>
      </c>
      <c r="L37" t="s">
        <v>419</v>
      </c>
    </row>
    <row r="38" spans="1:12" x14ac:dyDescent="0.2">
      <c r="A38" s="1">
        <v>45350</v>
      </c>
      <c r="B38" t="s">
        <v>138</v>
      </c>
      <c r="C38" t="s">
        <v>50</v>
      </c>
      <c r="D38" t="s">
        <v>139</v>
      </c>
      <c r="E38" t="s">
        <v>140</v>
      </c>
      <c r="F38" t="s">
        <v>36</v>
      </c>
      <c r="G38" t="s">
        <v>416</v>
      </c>
      <c r="H38">
        <v>39761</v>
      </c>
      <c r="I38" t="s">
        <v>69</v>
      </c>
      <c r="J38" t="s">
        <v>30</v>
      </c>
      <c r="K38" t="s">
        <v>25</v>
      </c>
      <c r="L38" t="s">
        <v>421</v>
      </c>
    </row>
    <row r="39" spans="1:12" x14ac:dyDescent="0.2">
      <c r="A39" s="1">
        <v>45378</v>
      </c>
      <c r="B39" t="s">
        <v>141</v>
      </c>
      <c r="C39" t="s">
        <v>12</v>
      </c>
      <c r="D39" t="s">
        <v>142</v>
      </c>
      <c r="E39" t="s">
        <v>81</v>
      </c>
      <c r="F39" t="s">
        <v>15</v>
      </c>
      <c r="G39" t="s">
        <v>75</v>
      </c>
      <c r="H39">
        <v>81965</v>
      </c>
      <c r="I39" t="s">
        <v>16</v>
      </c>
      <c r="J39" t="s">
        <v>53</v>
      </c>
      <c r="K39" t="s">
        <v>85</v>
      </c>
      <c r="L39" t="s">
        <v>420</v>
      </c>
    </row>
    <row r="40" spans="1:12" x14ac:dyDescent="0.2">
      <c r="A40" s="1">
        <v>45433</v>
      </c>
      <c r="B40" t="s">
        <v>143</v>
      </c>
      <c r="C40" t="s">
        <v>61</v>
      </c>
      <c r="D40" t="s">
        <v>131</v>
      </c>
      <c r="E40" t="s">
        <v>132</v>
      </c>
      <c r="F40" t="s">
        <v>15</v>
      </c>
      <c r="G40" t="s">
        <v>46</v>
      </c>
      <c r="H40">
        <v>35370</v>
      </c>
      <c r="I40" t="s">
        <v>16</v>
      </c>
      <c r="J40" t="s">
        <v>53</v>
      </c>
      <c r="K40" t="s">
        <v>25</v>
      </c>
      <c r="L40" t="s">
        <v>422</v>
      </c>
    </row>
    <row r="41" spans="1:12" x14ac:dyDescent="0.2">
      <c r="A41" s="1">
        <v>45462</v>
      </c>
      <c r="B41" t="s">
        <v>144</v>
      </c>
      <c r="C41" t="s">
        <v>61</v>
      </c>
      <c r="D41" t="s">
        <v>145</v>
      </c>
      <c r="E41" t="s">
        <v>146</v>
      </c>
      <c r="F41" t="s">
        <v>36</v>
      </c>
      <c r="G41" t="s">
        <v>46</v>
      </c>
      <c r="H41">
        <v>94776</v>
      </c>
      <c r="I41" t="s">
        <v>69</v>
      </c>
      <c r="J41" t="s">
        <v>76</v>
      </c>
      <c r="K41" t="s">
        <v>18</v>
      </c>
      <c r="L41" t="s">
        <v>427</v>
      </c>
    </row>
    <row r="42" spans="1:12" x14ac:dyDescent="0.2">
      <c r="A42" s="1">
        <v>45534</v>
      </c>
      <c r="B42" t="s">
        <v>147</v>
      </c>
      <c r="C42" t="s">
        <v>33</v>
      </c>
      <c r="D42" t="s">
        <v>148</v>
      </c>
      <c r="E42" t="s">
        <v>149</v>
      </c>
      <c r="F42" t="s">
        <v>36</v>
      </c>
      <c r="G42" t="s">
        <v>416</v>
      </c>
      <c r="H42">
        <v>69780</v>
      </c>
      <c r="I42" t="s">
        <v>47</v>
      </c>
      <c r="J42" t="s">
        <v>17</v>
      </c>
      <c r="K42" t="s">
        <v>25</v>
      </c>
      <c r="L42" t="s">
        <v>427</v>
      </c>
    </row>
    <row r="43" spans="1:12" x14ac:dyDescent="0.2">
      <c r="A43" s="1">
        <v>45407</v>
      </c>
      <c r="B43" t="s">
        <v>150</v>
      </c>
      <c r="C43" t="s">
        <v>33</v>
      </c>
      <c r="D43" t="s">
        <v>151</v>
      </c>
      <c r="E43" t="s">
        <v>152</v>
      </c>
      <c r="F43" t="s">
        <v>15</v>
      </c>
      <c r="G43" t="s">
        <v>415</v>
      </c>
      <c r="H43">
        <v>34985</v>
      </c>
      <c r="I43" t="s">
        <v>23</v>
      </c>
      <c r="J43" t="s">
        <v>30</v>
      </c>
      <c r="K43" t="s">
        <v>85</v>
      </c>
      <c r="L43" t="s">
        <v>425</v>
      </c>
    </row>
    <row r="44" spans="1:12" x14ac:dyDescent="0.2">
      <c r="A44" s="1">
        <v>45622</v>
      </c>
      <c r="B44" t="s">
        <v>153</v>
      </c>
      <c r="C44" t="s">
        <v>33</v>
      </c>
      <c r="D44" t="s">
        <v>154</v>
      </c>
      <c r="E44" t="s">
        <v>129</v>
      </c>
      <c r="F44" t="s">
        <v>15</v>
      </c>
      <c r="G44" t="s">
        <v>75</v>
      </c>
      <c r="H44">
        <v>153124</v>
      </c>
      <c r="I44" t="s">
        <v>23</v>
      </c>
      <c r="J44" t="s">
        <v>17</v>
      </c>
      <c r="K44" t="s">
        <v>25</v>
      </c>
      <c r="L44" t="s">
        <v>426</v>
      </c>
    </row>
    <row r="45" spans="1:12" x14ac:dyDescent="0.2">
      <c r="A45" s="1">
        <v>45467</v>
      </c>
      <c r="B45" t="s">
        <v>155</v>
      </c>
      <c r="C45" t="s">
        <v>33</v>
      </c>
      <c r="D45" t="s">
        <v>156</v>
      </c>
      <c r="E45" t="s">
        <v>157</v>
      </c>
      <c r="F45" t="s">
        <v>15</v>
      </c>
      <c r="G45" t="s">
        <v>416</v>
      </c>
      <c r="H45">
        <v>125847</v>
      </c>
      <c r="I45" t="s">
        <v>23</v>
      </c>
      <c r="J45" t="s">
        <v>30</v>
      </c>
      <c r="K45" t="s">
        <v>31</v>
      </c>
      <c r="L45" t="s">
        <v>424</v>
      </c>
    </row>
    <row r="46" spans="1:12" x14ac:dyDescent="0.2">
      <c r="A46" s="1">
        <v>45344</v>
      </c>
      <c r="B46" t="s">
        <v>158</v>
      </c>
      <c r="C46" t="s">
        <v>33</v>
      </c>
      <c r="D46" t="s">
        <v>159</v>
      </c>
      <c r="E46" t="s">
        <v>160</v>
      </c>
      <c r="F46" t="s">
        <v>15</v>
      </c>
      <c r="G46" t="s">
        <v>22</v>
      </c>
      <c r="H46">
        <v>41491</v>
      </c>
      <c r="I46" t="s">
        <v>69</v>
      </c>
      <c r="J46" t="s">
        <v>76</v>
      </c>
      <c r="K46" t="s">
        <v>48</v>
      </c>
      <c r="L46" t="s">
        <v>420</v>
      </c>
    </row>
    <row r="47" spans="1:12" x14ac:dyDescent="0.2">
      <c r="A47" s="1">
        <v>45522</v>
      </c>
      <c r="B47" t="s">
        <v>161</v>
      </c>
      <c r="C47" t="s">
        <v>33</v>
      </c>
      <c r="D47" t="s">
        <v>162</v>
      </c>
      <c r="E47" t="s">
        <v>163</v>
      </c>
      <c r="F47" t="s">
        <v>36</v>
      </c>
      <c r="G47" t="s">
        <v>415</v>
      </c>
      <c r="H47">
        <v>73545</v>
      </c>
      <c r="I47" t="s">
        <v>47</v>
      </c>
      <c r="J47" t="s">
        <v>17</v>
      </c>
      <c r="K47" t="s">
        <v>42</v>
      </c>
      <c r="L47" t="s">
        <v>419</v>
      </c>
    </row>
    <row r="48" spans="1:12" x14ac:dyDescent="0.2">
      <c r="A48" s="1">
        <v>45462</v>
      </c>
      <c r="B48" t="s">
        <v>164</v>
      </c>
      <c r="C48" t="s">
        <v>61</v>
      </c>
      <c r="D48" t="s">
        <v>165</v>
      </c>
      <c r="E48" t="s">
        <v>166</v>
      </c>
      <c r="F48" t="s">
        <v>15</v>
      </c>
      <c r="G48" t="s">
        <v>415</v>
      </c>
      <c r="H48">
        <v>139858</v>
      </c>
      <c r="I48" t="s">
        <v>47</v>
      </c>
      <c r="J48" t="s">
        <v>24</v>
      </c>
      <c r="K48" t="s">
        <v>25</v>
      </c>
      <c r="L48" t="s">
        <v>422</v>
      </c>
    </row>
    <row r="49" spans="1:12" x14ac:dyDescent="0.2">
      <c r="A49" s="1">
        <v>45351</v>
      </c>
      <c r="B49" t="s">
        <v>167</v>
      </c>
      <c r="C49" t="s">
        <v>61</v>
      </c>
      <c r="D49" t="s">
        <v>168</v>
      </c>
      <c r="E49" t="s">
        <v>169</v>
      </c>
      <c r="F49" t="s">
        <v>15</v>
      </c>
      <c r="G49" t="s">
        <v>75</v>
      </c>
      <c r="H49">
        <v>160937</v>
      </c>
      <c r="I49" t="s">
        <v>16</v>
      </c>
      <c r="J49" t="s">
        <v>30</v>
      </c>
      <c r="K49" t="s">
        <v>42</v>
      </c>
      <c r="L49" t="s">
        <v>422</v>
      </c>
    </row>
    <row r="50" spans="1:12" x14ac:dyDescent="0.2">
      <c r="A50" s="1">
        <v>45586</v>
      </c>
      <c r="B50" t="s">
        <v>170</v>
      </c>
      <c r="C50" t="s">
        <v>27</v>
      </c>
      <c r="D50" t="s">
        <v>73</v>
      </c>
      <c r="E50" t="s">
        <v>171</v>
      </c>
      <c r="F50" t="s">
        <v>36</v>
      </c>
      <c r="G50" t="s">
        <v>75</v>
      </c>
      <c r="H50">
        <v>84037</v>
      </c>
      <c r="I50" t="s">
        <v>47</v>
      </c>
      <c r="J50" t="s">
        <v>38</v>
      </c>
      <c r="K50" t="s">
        <v>31</v>
      </c>
      <c r="L50" t="s">
        <v>422</v>
      </c>
    </row>
    <row r="51" spans="1:12" x14ac:dyDescent="0.2">
      <c r="A51" s="1">
        <v>45379</v>
      </c>
      <c r="B51" t="s">
        <v>172</v>
      </c>
      <c r="C51" t="s">
        <v>61</v>
      </c>
      <c r="D51" t="s">
        <v>173</v>
      </c>
      <c r="E51" t="s">
        <v>174</v>
      </c>
      <c r="F51" t="s">
        <v>36</v>
      </c>
      <c r="G51" t="s">
        <v>22</v>
      </c>
      <c r="H51">
        <v>191435</v>
      </c>
      <c r="I51" t="s">
        <v>37</v>
      </c>
      <c r="J51" t="s">
        <v>24</v>
      </c>
      <c r="K51" t="s">
        <v>18</v>
      </c>
      <c r="L51" t="s">
        <v>424</v>
      </c>
    </row>
    <row r="52" spans="1:12" x14ac:dyDescent="0.2">
      <c r="A52" s="1">
        <v>45367</v>
      </c>
      <c r="B52" t="s">
        <v>175</v>
      </c>
      <c r="C52" t="s">
        <v>33</v>
      </c>
      <c r="D52" t="s">
        <v>176</v>
      </c>
      <c r="E52" t="s">
        <v>177</v>
      </c>
      <c r="F52" t="s">
        <v>36</v>
      </c>
      <c r="G52" t="s">
        <v>75</v>
      </c>
      <c r="H52">
        <v>55203</v>
      </c>
      <c r="I52" t="s">
        <v>47</v>
      </c>
      <c r="J52" t="s">
        <v>24</v>
      </c>
      <c r="K52" t="s">
        <v>25</v>
      </c>
      <c r="L52" t="s">
        <v>424</v>
      </c>
    </row>
    <row r="53" spans="1:12" x14ac:dyDescent="0.2">
      <c r="A53" s="1">
        <v>45544</v>
      </c>
      <c r="B53" t="s">
        <v>178</v>
      </c>
      <c r="C53" t="s">
        <v>33</v>
      </c>
      <c r="D53" t="s">
        <v>179</v>
      </c>
      <c r="E53" t="s">
        <v>180</v>
      </c>
      <c r="F53" t="s">
        <v>15</v>
      </c>
      <c r="G53" t="s">
        <v>415</v>
      </c>
      <c r="H53">
        <v>93860</v>
      </c>
      <c r="I53" t="s">
        <v>37</v>
      </c>
      <c r="J53" t="s">
        <v>17</v>
      </c>
      <c r="K53" t="s">
        <v>18</v>
      </c>
      <c r="L53" t="s">
        <v>425</v>
      </c>
    </row>
    <row r="54" spans="1:12" x14ac:dyDescent="0.2">
      <c r="A54" s="1">
        <v>45364</v>
      </c>
      <c r="B54" t="s">
        <v>181</v>
      </c>
      <c r="C54" t="s">
        <v>50</v>
      </c>
      <c r="D54" t="s">
        <v>182</v>
      </c>
      <c r="E54" t="s">
        <v>100</v>
      </c>
      <c r="F54" t="s">
        <v>15</v>
      </c>
      <c r="G54" t="s">
        <v>415</v>
      </c>
      <c r="H54">
        <v>152489</v>
      </c>
      <c r="I54" t="s">
        <v>69</v>
      </c>
      <c r="J54" t="s">
        <v>38</v>
      </c>
      <c r="K54" t="s">
        <v>25</v>
      </c>
      <c r="L54" t="s">
        <v>427</v>
      </c>
    </row>
    <row r="55" spans="1:12" x14ac:dyDescent="0.2">
      <c r="A55" s="1">
        <v>45347</v>
      </c>
      <c r="B55" t="s">
        <v>183</v>
      </c>
      <c r="C55" t="s">
        <v>12</v>
      </c>
      <c r="D55" t="s">
        <v>184</v>
      </c>
      <c r="E55" t="s">
        <v>185</v>
      </c>
      <c r="F55" t="s">
        <v>36</v>
      </c>
      <c r="G55" t="s">
        <v>415</v>
      </c>
      <c r="H55">
        <v>31557</v>
      </c>
      <c r="I55" t="s">
        <v>23</v>
      </c>
      <c r="J55" t="s">
        <v>38</v>
      </c>
      <c r="K55" t="s">
        <v>31</v>
      </c>
      <c r="L55" t="s">
        <v>424</v>
      </c>
    </row>
    <row r="56" spans="1:12" x14ac:dyDescent="0.2">
      <c r="A56" s="1">
        <v>45621</v>
      </c>
      <c r="B56" t="s">
        <v>186</v>
      </c>
      <c r="C56" t="s">
        <v>50</v>
      </c>
      <c r="D56" t="s">
        <v>187</v>
      </c>
      <c r="E56" t="s">
        <v>188</v>
      </c>
      <c r="F56" t="s">
        <v>15</v>
      </c>
      <c r="G56" t="s">
        <v>46</v>
      </c>
      <c r="H56">
        <v>164619</v>
      </c>
      <c r="I56" t="s">
        <v>69</v>
      </c>
      <c r="J56" t="s">
        <v>30</v>
      </c>
      <c r="K56" t="s">
        <v>25</v>
      </c>
      <c r="L56" t="s">
        <v>418</v>
      </c>
    </row>
    <row r="57" spans="1:12" x14ac:dyDescent="0.2">
      <c r="A57" s="1">
        <v>45522</v>
      </c>
      <c r="B57" t="s">
        <v>189</v>
      </c>
      <c r="C57" t="s">
        <v>12</v>
      </c>
      <c r="D57" t="s">
        <v>190</v>
      </c>
      <c r="E57" t="s">
        <v>191</v>
      </c>
      <c r="F57" t="s">
        <v>15</v>
      </c>
      <c r="G57" t="s">
        <v>416</v>
      </c>
      <c r="H57">
        <v>163023</v>
      </c>
      <c r="I57" t="s">
        <v>23</v>
      </c>
      <c r="J57" t="s">
        <v>38</v>
      </c>
      <c r="K57" t="s">
        <v>48</v>
      </c>
      <c r="L57" t="s">
        <v>426</v>
      </c>
    </row>
    <row r="58" spans="1:12" x14ac:dyDescent="0.2">
      <c r="A58" s="1">
        <v>45393</v>
      </c>
      <c r="B58" t="s">
        <v>192</v>
      </c>
      <c r="C58" t="s">
        <v>33</v>
      </c>
      <c r="D58" t="s">
        <v>193</v>
      </c>
      <c r="E58" t="s">
        <v>194</v>
      </c>
      <c r="F58" t="s">
        <v>15</v>
      </c>
      <c r="G58" t="s">
        <v>46</v>
      </c>
      <c r="H58">
        <v>53409</v>
      </c>
      <c r="I58" t="s">
        <v>23</v>
      </c>
      <c r="J58" t="s">
        <v>38</v>
      </c>
      <c r="K58" t="s">
        <v>42</v>
      </c>
      <c r="L58" t="s">
        <v>423</v>
      </c>
    </row>
    <row r="59" spans="1:12" x14ac:dyDescent="0.2">
      <c r="A59" s="1">
        <v>45411</v>
      </c>
      <c r="B59" t="s">
        <v>195</v>
      </c>
      <c r="C59" t="s">
        <v>12</v>
      </c>
      <c r="D59" t="s">
        <v>196</v>
      </c>
      <c r="E59" t="s">
        <v>197</v>
      </c>
      <c r="F59" t="s">
        <v>36</v>
      </c>
      <c r="G59" t="s">
        <v>416</v>
      </c>
      <c r="H59">
        <v>198799</v>
      </c>
      <c r="I59" t="s">
        <v>16</v>
      </c>
      <c r="J59" t="s">
        <v>76</v>
      </c>
      <c r="K59" t="s">
        <v>25</v>
      </c>
      <c r="L59" t="s">
        <v>420</v>
      </c>
    </row>
    <row r="60" spans="1:12" x14ac:dyDescent="0.2">
      <c r="A60" s="1">
        <v>45407</v>
      </c>
      <c r="B60" t="s">
        <v>198</v>
      </c>
      <c r="C60" t="s">
        <v>50</v>
      </c>
      <c r="D60" t="s">
        <v>199</v>
      </c>
      <c r="E60" t="s">
        <v>200</v>
      </c>
      <c r="F60" t="s">
        <v>36</v>
      </c>
      <c r="G60" t="s">
        <v>22</v>
      </c>
      <c r="H60">
        <v>60515</v>
      </c>
      <c r="I60" t="s">
        <v>16</v>
      </c>
      <c r="J60" t="s">
        <v>17</v>
      </c>
      <c r="K60" t="s">
        <v>31</v>
      </c>
      <c r="L60" t="s">
        <v>427</v>
      </c>
    </row>
    <row r="61" spans="1:12" x14ac:dyDescent="0.2">
      <c r="A61" s="1">
        <v>45407</v>
      </c>
      <c r="B61" t="s">
        <v>201</v>
      </c>
      <c r="C61" t="s">
        <v>61</v>
      </c>
      <c r="D61" t="s">
        <v>202</v>
      </c>
      <c r="E61" t="s">
        <v>203</v>
      </c>
      <c r="F61" t="s">
        <v>15</v>
      </c>
      <c r="G61" t="s">
        <v>416</v>
      </c>
      <c r="H61">
        <v>107080</v>
      </c>
      <c r="I61" t="s">
        <v>69</v>
      </c>
      <c r="J61" t="s">
        <v>76</v>
      </c>
      <c r="K61" t="s">
        <v>18</v>
      </c>
      <c r="L61" t="s">
        <v>419</v>
      </c>
    </row>
    <row r="62" spans="1:12" x14ac:dyDescent="0.2">
      <c r="A62" s="1">
        <v>45530</v>
      </c>
      <c r="B62" t="s">
        <v>204</v>
      </c>
      <c r="C62" t="s">
        <v>27</v>
      </c>
      <c r="D62" t="s">
        <v>205</v>
      </c>
      <c r="E62" t="s">
        <v>203</v>
      </c>
      <c r="F62" t="s">
        <v>36</v>
      </c>
      <c r="G62" t="s">
        <v>416</v>
      </c>
      <c r="H62">
        <v>48336</v>
      </c>
      <c r="I62" t="s">
        <v>69</v>
      </c>
      <c r="J62" t="s">
        <v>24</v>
      </c>
      <c r="K62" t="s">
        <v>85</v>
      </c>
      <c r="L62" t="s">
        <v>424</v>
      </c>
    </row>
    <row r="63" spans="1:12" x14ac:dyDescent="0.2">
      <c r="A63" s="1">
        <v>45625</v>
      </c>
      <c r="B63" t="s">
        <v>206</v>
      </c>
      <c r="C63" t="s">
        <v>27</v>
      </c>
      <c r="D63" t="s">
        <v>207</v>
      </c>
      <c r="E63" t="s">
        <v>208</v>
      </c>
      <c r="F63" t="s">
        <v>15</v>
      </c>
      <c r="G63" t="s">
        <v>46</v>
      </c>
      <c r="H63">
        <v>111660</v>
      </c>
      <c r="I63" t="s">
        <v>47</v>
      </c>
      <c r="J63" t="s">
        <v>17</v>
      </c>
      <c r="K63" t="s">
        <v>31</v>
      </c>
      <c r="L63" t="s">
        <v>426</v>
      </c>
    </row>
    <row r="64" spans="1:12" x14ac:dyDescent="0.2">
      <c r="A64" s="1">
        <v>45318</v>
      </c>
      <c r="B64" t="s">
        <v>209</v>
      </c>
      <c r="C64" t="s">
        <v>12</v>
      </c>
      <c r="D64" t="s">
        <v>190</v>
      </c>
      <c r="E64" t="s">
        <v>180</v>
      </c>
      <c r="F64" t="s">
        <v>15</v>
      </c>
      <c r="G64" t="s">
        <v>46</v>
      </c>
      <c r="H64">
        <v>106051</v>
      </c>
      <c r="I64" t="s">
        <v>47</v>
      </c>
      <c r="J64" t="s">
        <v>24</v>
      </c>
      <c r="K64" t="s">
        <v>42</v>
      </c>
      <c r="L64" t="s">
        <v>418</v>
      </c>
    </row>
    <row r="65" spans="1:12" x14ac:dyDescent="0.2">
      <c r="A65" s="1">
        <v>45387</v>
      </c>
      <c r="B65" t="s">
        <v>210</v>
      </c>
      <c r="C65" t="s">
        <v>50</v>
      </c>
      <c r="D65" t="s">
        <v>211</v>
      </c>
      <c r="E65" t="s">
        <v>169</v>
      </c>
      <c r="F65" t="s">
        <v>36</v>
      </c>
      <c r="G65" t="s">
        <v>22</v>
      </c>
      <c r="H65">
        <v>106808</v>
      </c>
      <c r="I65" t="s">
        <v>23</v>
      </c>
      <c r="J65" t="s">
        <v>24</v>
      </c>
      <c r="K65" t="s">
        <v>42</v>
      </c>
      <c r="L65" t="s">
        <v>423</v>
      </c>
    </row>
    <row r="66" spans="1:12" x14ac:dyDescent="0.2">
      <c r="A66" s="1">
        <v>45449</v>
      </c>
      <c r="B66" t="s">
        <v>212</v>
      </c>
      <c r="C66" t="s">
        <v>27</v>
      </c>
      <c r="D66" t="s">
        <v>213</v>
      </c>
      <c r="E66" t="s">
        <v>214</v>
      </c>
      <c r="F66" t="s">
        <v>36</v>
      </c>
      <c r="G66" t="s">
        <v>75</v>
      </c>
      <c r="H66">
        <v>48417</v>
      </c>
      <c r="I66" t="s">
        <v>37</v>
      </c>
      <c r="J66" t="s">
        <v>53</v>
      </c>
      <c r="K66" t="s">
        <v>42</v>
      </c>
      <c r="L66" t="s">
        <v>425</v>
      </c>
    </row>
    <row r="67" spans="1:12" x14ac:dyDescent="0.2">
      <c r="A67" s="1">
        <v>45544</v>
      </c>
      <c r="B67" t="s">
        <v>215</v>
      </c>
      <c r="C67" t="s">
        <v>50</v>
      </c>
      <c r="D67" t="s">
        <v>62</v>
      </c>
      <c r="E67" t="s">
        <v>216</v>
      </c>
      <c r="F67" t="s">
        <v>36</v>
      </c>
      <c r="G67" t="s">
        <v>22</v>
      </c>
      <c r="H67">
        <v>154066</v>
      </c>
      <c r="I67" t="s">
        <v>23</v>
      </c>
      <c r="J67" t="s">
        <v>53</v>
      </c>
      <c r="K67" t="s">
        <v>48</v>
      </c>
      <c r="L67" t="s">
        <v>423</v>
      </c>
    </row>
    <row r="68" spans="1:12" x14ac:dyDescent="0.2">
      <c r="A68" s="1">
        <v>45606</v>
      </c>
      <c r="B68" t="s">
        <v>217</v>
      </c>
      <c r="C68" t="s">
        <v>27</v>
      </c>
      <c r="D68" t="s">
        <v>218</v>
      </c>
      <c r="E68" t="s">
        <v>219</v>
      </c>
      <c r="F68" t="s">
        <v>36</v>
      </c>
      <c r="G68" t="s">
        <v>75</v>
      </c>
      <c r="H68">
        <v>134309</v>
      </c>
      <c r="I68" t="s">
        <v>23</v>
      </c>
      <c r="J68" t="s">
        <v>30</v>
      </c>
      <c r="K68" t="s">
        <v>48</v>
      </c>
      <c r="L68" t="s">
        <v>421</v>
      </c>
    </row>
    <row r="69" spans="1:12" x14ac:dyDescent="0.2">
      <c r="A69" s="1">
        <v>45424</v>
      </c>
      <c r="B69" t="s">
        <v>220</v>
      </c>
      <c r="C69" t="s">
        <v>27</v>
      </c>
      <c r="D69" t="s">
        <v>221</v>
      </c>
      <c r="E69" t="s">
        <v>222</v>
      </c>
      <c r="F69" t="s">
        <v>36</v>
      </c>
      <c r="G69" t="s">
        <v>46</v>
      </c>
      <c r="H69">
        <v>38343</v>
      </c>
      <c r="I69" t="s">
        <v>47</v>
      </c>
      <c r="J69" t="s">
        <v>30</v>
      </c>
      <c r="K69" t="s">
        <v>42</v>
      </c>
      <c r="L69" t="s">
        <v>423</v>
      </c>
    </row>
    <row r="70" spans="1:12" x14ac:dyDescent="0.2">
      <c r="A70" s="1">
        <v>45418</v>
      </c>
      <c r="B70" t="s">
        <v>223</v>
      </c>
      <c r="C70" t="s">
        <v>12</v>
      </c>
      <c r="D70" t="s">
        <v>96</v>
      </c>
      <c r="E70" t="s">
        <v>152</v>
      </c>
      <c r="F70" t="s">
        <v>36</v>
      </c>
      <c r="G70" t="s">
        <v>22</v>
      </c>
      <c r="H70">
        <v>101077</v>
      </c>
      <c r="I70" t="s">
        <v>69</v>
      </c>
      <c r="J70" t="s">
        <v>38</v>
      </c>
      <c r="K70" t="s">
        <v>85</v>
      </c>
      <c r="L70" t="s">
        <v>424</v>
      </c>
    </row>
    <row r="71" spans="1:12" x14ac:dyDescent="0.2">
      <c r="A71" s="1">
        <v>45629</v>
      </c>
      <c r="B71" t="s">
        <v>224</v>
      </c>
      <c r="C71" t="s">
        <v>50</v>
      </c>
      <c r="D71" t="s">
        <v>68</v>
      </c>
      <c r="E71" t="s">
        <v>225</v>
      </c>
      <c r="F71" t="s">
        <v>15</v>
      </c>
      <c r="G71" t="s">
        <v>416</v>
      </c>
      <c r="H71">
        <v>130217</v>
      </c>
      <c r="I71" t="s">
        <v>69</v>
      </c>
      <c r="J71" t="s">
        <v>76</v>
      </c>
      <c r="K71" t="s">
        <v>18</v>
      </c>
      <c r="L71" t="s">
        <v>422</v>
      </c>
    </row>
    <row r="72" spans="1:12" x14ac:dyDescent="0.2">
      <c r="A72" s="1">
        <v>45422</v>
      </c>
      <c r="B72" t="s">
        <v>226</v>
      </c>
      <c r="C72" t="s">
        <v>27</v>
      </c>
      <c r="D72" t="s">
        <v>182</v>
      </c>
      <c r="E72" t="s">
        <v>227</v>
      </c>
      <c r="F72" t="s">
        <v>36</v>
      </c>
      <c r="G72" t="s">
        <v>46</v>
      </c>
      <c r="H72">
        <v>163638</v>
      </c>
      <c r="I72" t="s">
        <v>23</v>
      </c>
      <c r="J72" t="s">
        <v>38</v>
      </c>
      <c r="K72" t="s">
        <v>42</v>
      </c>
      <c r="L72" t="s">
        <v>426</v>
      </c>
    </row>
    <row r="73" spans="1:12" x14ac:dyDescent="0.2">
      <c r="A73" s="1">
        <v>45433</v>
      </c>
      <c r="B73" t="s">
        <v>228</v>
      </c>
      <c r="C73" t="s">
        <v>27</v>
      </c>
      <c r="D73" t="s">
        <v>229</v>
      </c>
      <c r="E73" t="s">
        <v>230</v>
      </c>
      <c r="F73" t="s">
        <v>36</v>
      </c>
      <c r="G73" t="s">
        <v>22</v>
      </c>
      <c r="H73">
        <v>179032</v>
      </c>
      <c r="I73" t="s">
        <v>47</v>
      </c>
      <c r="J73" t="s">
        <v>53</v>
      </c>
      <c r="K73" t="s">
        <v>85</v>
      </c>
      <c r="L73" t="s">
        <v>422</v>
      </c>
    </row>
    <row r="74" spans="1:12" x14ac:dyDescent="0.2">
      <c r="A74" s="1">
        <v>45504</v>
      </c>
      <c r="B74" t="s">
        <v>231</v>
      </c>
      <c r="C74" t="s">
        <v>61</v>
      </c>
      <c r="D74" t="s">
        <v>232</v>
      </c>
      <c r="E74" t="s">
        <v>214</v>
      </c>
      <c r="F74" t="s">
        <v>15</v>
      </c>
      <c r="G74" t="s">
        <v>22</v>
      </c>
      <c r="H74">
        <v>144042</v>
      </c>
      <c r="I74" t="s">
        <v>16</v>
      </c>
      <c r="J74" t="s">
        <v>76</v>
      </c>
      <c r="K74" t="s">
        <v>25</v>
      </c>
      <c r="L74" t="s">
        <v>421</v>
      </c>
    </row>
    <row r="75" spans="1:12" x14ac:dyDescent="0.2">
      <c r="A75" s="1">
        <v>45494</v>
      </c>
      <c r="B75" t="s">
        <v>233</v>
      </c>
      <c r="C75" t="s">
        <v>50</v>
      </c>
      <c r="D75" t="s">
        <v>234</v>
      </c>
      <c r="E75" t="s">
        <v>235</v>
      </c>
      <c r="F75" t="s">
        <v>36</v>
      </c>
      <c r="G75" t="s">
        <v>75</v>
      </c>
      <c r="H75">
        <v>81569</v>
      </c>
      <c r="I75" t="s">
        <v>47</v>
      </c>
      <c r="J75" t="s">
        <v>17</v>
      </c>
      <c r="K75" t="s">
        <v>31</v>
      </c>
      <c r="L75" t="s">
        <v>427</v>
      </c>
    </row>
    <row r="76" spans="1:12" x14ac:dyDescent="0.2">
      <c r="A76" s="1">
        <v>45414</v>
      </c>
      <c r="B76" t="s">
        <v>236</v>
      </c>
      <c r="C76" t="s">
        <v>27</v>
      </c>
      <c r="D76" t="s">
        <v>237</v>
      </c>
      <c r="E76" t="s">
        <v>238</v>
      </c>
      <c r="F76" t="s">
        <v>15</v>
      </c>
      <c r="G76" t="s">
        <v>75</v>
      </c>
      <c r="H76">
        <v>84184</v>
      </c>
      <c r="I76" t="s">
        <v>69</v>
      </c>
      <c r="J76" t="s">
        <v>30</v>
      </c>
      <c r="K76" t="s">
        <v>25</v>
      </c>
      <c r="L76" t="s">
        <v>424</v>
      </c>
    </row>
    <row r="77" spans="1:12" x14ac:dyDescent="0.2">
      <c r="A77" s="1">
        <v>45299</v>
      </c>
      <c r="B77" t="s">
        <v>239</v>
      </c>
      <c r="C77" t="s">
        <v>61</v>
      </c>
      <c r="D77" t="s">
        <v>213</v>
      </c>
      <c r="E77" t="s">
        <v>81</v>
      </c>
      <c r="F77" t="s">
        <v>36</v>
      </c>
      <c r="G77" t="s">
        <v>22</v>
      </c>
      <c r="H77">
        <v>70970</v>
      </c>
      <c r="I77" t="s">
        <v>69</v>
      </c>
      <c r="J77" t="s">
        <v>53</v>
      </c>
      <c r="K77" t="s">
        <v>85</v>
      </c>
      <c r="L77" t="s">
        <v>420</v>
      </c>
    </row>
    <row r="78" spans="1:12" x14ac:dyDescent="0.2">
      <c r="A78" s="1">
        <v>45481</v>
      </c>
      <c r="B78" t="s">
        <v>240</v>
      </c>
      <c r="C78" t="s">
        <v>27</v>
      </c>
      <c r="D78" t="s">
        <v>241</v>
      </c>
      <c r="E78" t="s">
        <v>242</v>
      </c>
      <c r="F78" t="s">
        <v>15</v>
      </c>
      <c r="G78" t="s">
        <v>75</v>
      </c>
      <c r="H78">
        <v>47941</v>
      </c>
      <c r="I78" t="s">
        <v>69</v>
      </c>
      <c r="J78" t="s">
        <v>17</v>
      </c>
      <c r="K78" t="s">
        <v>31</v>
      </c>
      <c r="L78" t="s">
        <v>422</v>
      </c>
    </row>
    <row r="79" spans="1:12" x14ac:dyDescent="0.2">
      <c r="A79" s="1">
        <v>45550</v>
      </c>
      <c r="B79" t="s">
        <v>243</v>
      </c>
      <c r="C79" t="s">
        <v>33</v>
      </c>
      <c r="D79" t="s">
        <v>244</v>
      </c>
      <c r="E79" t="s">
        <v>245</v>
      </c>
      <c r="F79" t="s">
        <v>36</v>
      </c>
      <c r="G79" t="s">
        <v>75</v>
      </c>
      <c r="H79">
        <v>166120</v>
      </c>
      <c r="I79" t="s">
        <v>16</v>
      </c>
      <c r="J79" t="s">
        <v>24</v>
      </c>
      <c r="K79" t="s">
        <v>85</v>
      </c>
      <c r="L79" t="s">
        <v>427</v>
      </c>
    </row>
    <row r="80" spans="1:12" x14ac:dyDescent="0.2">
      <c r="A80" s="1">
        <v>45359</v>
      </c>
      <c r="B80" t="s">
        <v>246</v>
      </c>
      <c r="C80" t="s">
        <v>27</v>
      </c>
      <c r="D80" t="s">
        <v>83</v>
      </c>
      <c r="E80" t="s">
        <v>247</v>
      </c>
      <c r="F80" t="s">
        <v>36</v>
      </c>
      <c r="G80" t="s">
        <v>22</v>
      </c>
      <c r="H80">
        <v>166518</v>
      </c>
      <c r="I80" t="s">
        <v>37</v>
      </c>
      <c r="J80" t="s">
        <v>38</v>
      </c>
      <c r="K80" t="s">
        <v>85</v>
      </c>
      <c r="L80" t="s">
        <v>420</v>
      </c>
    </row>
    <row r="81" spans="1:12" x14ac:dyDescent="0.2">
      <c r="A81" s="1">
        <v>45376</v>
      </c>
      <c r="B81" t="s">
        <v>248</v>
      </c>
      <c r="C81" t="s">
        <v>33</v>
      </c>
      <c r="D81" t="s">
        <v>249</v>
      </c>
      <c r="E81" t="s">
        <v>250</v>
      </c>
      <c r="F81" t="s">
        <v>36</v>
      </c>
      <c r="G81" t="s">
        <v>22</v>
      </c>
      <c r="H81">
        <v>136893</v>
      </c>
      <c r="I81" t="s">
        <v>16</v>
      </c>
      <c r="J81" t="s">
        <v>76</v>
      </c>
      <c r="K81" t="s">
        <v>85</v>
      </c>
      <c r="L81" t="s">
        <v>422</v>
      </c>
    </row>
    <row r="82" spans="1:12" x14ac:dyDescent="0.2">
      <c r="A82" s="1">
        <v>45360</v>
      </c>
      <c r="B82" t="s">
        <v>251</v>
      </c>
      <c r="C82" t="s">
        <v>61</v>
      </c>
      <c r="D82" t="s">
        <v>125</v>
      </c>
      <c r="E82" t="s">
        <v>252</v>
      </c>
      <c r="F82" t="s">
        <v>36</v>
      </c>
      <c r="G82" t="s">
        <v>416</v>
      </c>
      <c r="H82">
        <v>187159</v>
      </c>
      <c r="I82" t="s">
        <v>47</v>
      </c>
      <c r="J82" t="s">
        <v>30</v>
      </c>
      <c r="K82" t="s">
        <v>85</v>
      </c>
      <c r="L82" t="s">
        <v>424</v>
      </c>
    </row>
    <row r="83" spans="1:12" x14ac:dyDescent="0.2">
      <c r="A83" s="1">
        <v>45464</v>
      </c>
      <c r="B83" t="s">
        <v>253</v>
      </c>
      <c r="C83" t="s">
        <v>27</v>
      </c>
      <c r="D83" t="s">
        <v>254</v>
      </c>
      <c r="E83" t="s">
        <v>255</v>
      </c>
      <c r="F83" t="s">
        <v>36</v>
      </c>
      <c r="G83" t="s">
        <v>46</v>
      </c>
      <c r="H83">
        <v>40311</v>
      </c>
      <c r="I83" t="s">
        <v>47</v>
      </c>
      <c r="J83" t="s">
        <v>17</v>
      </c>
      <c r="K83" t="s">
        <v>42</v>
      </c>
      <c r="L83" t="s">
        <v>423</v>
      </c>
    </row>
    <row r="84" spans="1:12" x14ac:dyDescent="0.2">
      <c r="A84" s="1">
        <v>45596</v>
      </c>
      <c r="B84" t="s">
        <v>256</v>
      </c>
      <c r="C84" t="s">
        <v>50</v>
      </c>
      <c r="D84" t="s">
        <v>107</v>
      </c>
      <c r="E84" t="s">
        <v>257</v>
      </c>
      <c r="F84" t="s">
        <v>36</v>
      </c>
      <c r="G84" t="s">
        <v>22</v>
      </c>
      <c r="H84">
        <v>41122</v>
      </c>
      <c r="I84" t="s">
        <v>16</v>
      </c>
      <c r="J84" t="s">
        <v>17</v>
      </c>
      <c r="K84" t="s">
        <v>31</v>
      </c>
      <c r="L84" t="s">
        <v>419</v>
      </c>
    </row>
    <row r="85" spans="1:12" x14ac:dyDescent="0.2">
      <c r="A85" s="1">
        <v>45367</v>
      </c>
      <c r="B85" t="s">
        <v>258</v>
      </c>
      <c r="C85" t="s">
        <v>61</v>
      </c>
      <c r="D85" t="s">
        <v>142</v>
      </c>
      <c r="E85" t="s">
        <v>259</v>
      </c>
      <c r="F85" t="s">
        <v>15</v>
      </c>
      <c r="G85" t="s">
        <v>416</v>
      </c>
      <c r="H85">
        <v>36837</v>
      </c>
      <c r="I85" t="s">
        <v>69</v>
      </c>
      <c r="J85" t="s">
        <v>53</v>
      </c>
      <c r="K85" t="s">
        <v>42</v>
      </c>
      <c r="L85" t="s">
        <v>424</v>
      </c>
    </row>
    <row r="86" spans="1:12" x14ac:dyDescent="0.2">
      <c r="A86" s="1">
        <v>45535</v>
      </c>
      <c r="B86" t="s">
        <v>260</v>
      </c>
      <c r="C86" t="s">
        <v>33</v>
      </c>
      <c r="D86" t="s">
        <v>261</v>
      </c>
      <c r="E86" t="s">
        <v>203</v>
      </c>
      <c r="F86" t="s">
        <v>36</v>
      </c>
      <c r="G86" t="s">
        <v>46</v>
      </c>
      <c r="H86">
        <v>36322</v>
      </c>
      <c r="I86" t="s">
        <v>16</v>
      </c>
      <c r="J86" t="s">
        <v>53</v>
      </c>
      <c r="K86" t="s">
        <v>85</v>
      </c>
      <c r="L86" t="s">
        <v>419</v>
      </c>
    </row>
    <row r="87" spans="1:12" x14ac:dyDescent="0.2">
      <c r="A87" s="1">
        <v>45359</v>
      </c>
      <c r="B87" t="s">
        <v>262</v>
      </c>
      <c r="C87" t="s">
        <v>33</v>
      </c>
      <c r="D87" t="s">
        <v>263</v>
      </c>
      <c r="E87" t="s">
        <v>264</v>
      </c>
      <c r="F87" t="s">
        <v>15</v>
      </c>
      <c r="G87" t="s">
        <v>22</v>
      </c>
      <c r="H87">
        <v>119714</v>
      </c>
      <c r="I87" t="s">
        <v>69</v>
      </c>
      <c r="J87" t="s">
        <v>24</v>
      </c>
      <c r="K87" t="s">
        <v>42</v>
      </c>
      <c r="L87" t="s">
        <v>427</v>
      </c>
    </row>
    <row r="88" spans="1:12" x14ac:dyDescent="0.2">
      <c r="A88" s="1">
        <v>45305</v>
      </c>
      <c r="B88" t="s">
        <v>265</v>
      </c>
      <c r="C88" t="s">
        <v>50</v>
      </c>
      <c r="D88" t="s">
        <v>266</v>
      </c>
      <c r="E88" t="s">
        <v>81</v>
      </c>
      <c r="F88" t="s">
        <v>36</v>
      </c>
      <c r="G88" t="s">
        <v>46</v>
      </c>
      <c r="H88">
        <v>161091</v>
      </c>
      <c r="I88" t="s">
        <v>37</v>
      </c>
      <c r="J88" t="s">
        <v>30</v>
      </c>
      <c r="K88" t="s">
        <v>31</v>
      </c>
      <c r="L88" t="s">
        <v>421</v>
      </c>
    </row>
    <row r="89" spans="1:12" x14ac:dyDescent="0.2">
      <c r="A89" s="1">
        <v>45459</v>
      </c>
      <c r="B89" t="s">
        <v>267</v>
      </c>
      <c r="C89" t="s">
        <v>61</v>
      </c>
      <c r="D89" t="s">
        <v>221</v>
      </c>
      <c r="E89" t="s">
        <v>268</v>
      </c>
      <c r="F89" t="s">
        <v>15</v>
      </c>
      <c r="G89" t="s">
        <v>415</v>
      </c>
      <c r="H89">
        <v>134251</v>
      </c>
      <c r="I89" t="s">
        <v>69</v>
      </c>
      <c r="J89" t="s">
        <v>24</v>
      </c>
      <c r="K89" t="s">
        <v>85</v>
      </c>
      <c r="L89" t="s">
        <v>422</v>
      </c>
    </row>
    <row r="90" spans="1:12" x14ac:dyDescent="0.2">
      <c r="A90" s="1">
        <v>45531</v>
      </c>
      <c r="B90" t="s">
        <v>269</v>
      </c>
      <c r="C90" t="s">
        <v>50</v>
      </c>
      <c r="D90" t="s">
        <v>270</v>
      </c>
      <c r="E90" t="s">
        <v>271</v>
      </c>
      <c r="F90" t="s">
        <v>36</v>
      </c>
      <c r="G90" t="s">
        <v>416</v>
      </c>
      <c r="H90">
        <v>142523</v>
      </c>
      <c r="I90" t="s">
        <v>16</v>
      </c>
      <c r="J90" t="s">
        <v>30</v>
      </c>
      <c r="K90" t="s">
        <v>48</v>
      </c>
      <c r="L90" t="s">
        <v>418</v>
      </c>
    </row>
    <row r="91" spans="1:12" x14ac:dyDescent="0.2">
      <c r="A91" s="1">
        <v>45564</v>
      </c>
      <c r="B91" t="s">
        <v>272</v>
      </c>
      <c r="C91" t="s">
        <v>12</v>
      </c>
      <c r="D91" t="s">
        <v>273</v>
      </c>
      <c r="E91" t="s">
        <v>274</v>
      </c>
      <c r="F91" t="s">
        <v>36</v>
      </c>
      <c r="G91" t="s">
        <v>22</v>
      </c>
      <c r="H91">
        <v>167951</v>
      </c>
      <c r="I91" t="s">
        <v>23</v>
      </c>
      <c r="J91" t="s">
        <v>24</v>
      </c>
      <c r="K91" t="s">
        <v>18</v>
      </c>
      <c r="L91" t="s">
        <v>426</v>
      </c>
    </row>
    <row r="92" spans="1:12" x14ac:dyDescent="0.2">
      <c r="A92" s="1">
        <v>45387</v>
      </c>
      <c r="B92" t="s">
        <v>275</v>
      </c>
      <c r="C92" t="s">
        <v>61</v>
      </c>
      <c r="D92" t="s">
        <v>276</v>
      </c>
      <c r="E92" t="s">
        <v>277</v>
      </c>
      <c r="F92" t="s">
        <v>15</v>
      </c>
      <c r="G92" t="s">
        <v>46</v>
      </c>
      <c r="H92">
        <v>67639</v>
      </c>
      <c r="I92" t="s">
        <v>23</v>
      </c>
      <c r="J92" t="s">
        <v>38</v>
      </c>
      <c r="K92" t="s">
        <v>85</v>
      </c>
      <c r="L92" t="s">
        <v>425</v>
      </c>
    </row>
    <row r="93" spans="1:12" x14ac:dyDescent="0.2">
      <c r="A93" s="1">
        <v>45602</v>
      </c>
      <c r="B93" t="s">
        <v>278</v>
      </c>
      <c r="C93" t="s">
        <v>50</v>
      </c>
      <c r="D93" t="s">
        <v>276</v>
      </c>
      <c r="E93" t="s">
        <v>279</v>
      </c>
      <c r="F93" t="s">
        <v>15</v>
      </c>
      <c r="G93" t="s">
        <v>46</v>
      </c>
      <c r="H93">
        <v>105680</v>
      </c>
      <c r="I93" t="s">
        <v>47</v>
      </c>
      <c r="J93" t="s">
        <v>53</v>
      </c>
      <c r="K93" t="s">
        <v>42</v>
      </c>
      <c r="L93" t="s">
        <v>427</v>
      </c>
    </row>
    <row r="94" spans="1:12" x14ac:dyDescent="0.2">
      <c r="A94" s="1">
        <v>45511</v>
      </c>
      <c r="B94" t="s">
        <v>280</v>
      </c>
      <c r="C94" t="s">
        <v>61</v>
      </c>
      <c r="D94" t="s">
        <v>281</v>
      </c>
      <c r="E94" t="s">
        <v>282</v>
      </c>
      <c r="F94" t="s">
        <v>36</v>
      </c>
      <c r="G94" t="s">
        <v>75</v>
      </c>
      <c r="H94">
        <v>143288</v>
      </c>
      <c r="I94" t="s">
        <v>23</v>
      </c>
      <c r="J94" t="s">
        <v>76</v>
      </c>
      <c r="K94" t="s">
        <v>48</v>
      </c>
      <c r="L94" t="s">
        <v>425</v>
      </c>
    </row>
    <row r="95" spans="1:12" x14ac:dyDescent="0.2">
      <c r="A95" s="1">
        <v>45602</v>
      </c>
      <c r="B95" t="s">
        <v>283</v>
      </c>
      <c r="C95" t="s">
        <v>12</v>
      </c>
      <c r="D95" t="s">
        <v>284</v>
      </c>
      <c r="E95" t="s">
        <v>285</v>
      </c>
      <c r="F95" t="s">
        <v>36</v>
      </c>
      <c r="G95" t="s">
        <v>416</v>
      </c>
      <c r="H95">
        <v>190431</v>
      </c>
      <c r="I95" t="s">
        <v>23</v>
      </c>
      <c r="J95" t="s">
        <v>76</v>
      </c>
      <c r="K95" t="s">
        <v>25</v>
      </c>
      <c r="L95" t="s">
        <v>424</v>
      </c>
    </row>
    <row r="96" spans="1:12" x14ac:dyDescent="0.2">
      <c r="A96" s="1">
        <v>45501</v>
      </c>
      <c r="B96" t="s">
        <v>286</v>
      </c>
      <c r="C96" t="s">
        <v>12</v>
      </c>
      <c r="D96" t="s">
        <v>287</v>
      </c>
      <c r="E96" t="s">
        <v>259</v>
      </c>
      <c r="F96" t="s">
        <v>15</v>
      </c>
      <c r="G96" t="s">
        <v>416</v>
      </c>
      <c r="H96">
        <v>25342</v>
      </c>
      <c r="I96" t="s">
        <v>37</v>
      </c>
      <c r="J96" t="s">
        <v>17</v>
      </c>
      <c r="K96" t="s">
        <v>31</v>
      </c>
      <c r="L96" t="s">
        <v>418</v>
      </c>
    </row>
    <row r="97" spans="1:12" x14ac:dyDescent="0.2">
      <c r="A97" s="1">
        <v>45599</v>
      </c>
      <c r="B97" t="s">
        <v>288</v>
      </c>
      <c r="C97" t="s">
        <v>27</v>
      </c>
      <c r="D97" t="s">
        <v>289</v>
      </c>
      <c r="E97" t="s">
        <v>290</v>
      </c>
      <c r="F97" t="s">
        <v>36</v>
      </c>
      <c r="G97" t="s">
        <v>75</v>
      </c>
      <c r="H97">
        <v>167841</v>
      </c>
      <c r="I97" t="s">
        <v>16</v>
      </c>
      <c r="J97" t="s">
        <v>53</v>
      </c>
      <c r="K97" t="s">
        <v>18</v>
      </c>
      <c r="L97" t="s">
        <v>425</v>
      </c>
    </row>
    <row r="98" spans="1:12" x14ac:dyDescent="0.2">
      <c r="A98" s="1">
        <v>45547</v>
      </c>
      <c r="B98" t="s">
        <v>291</v>
      </c>
      <c r="C98" t="s">
        <v>50</v>
      </c>
      <c r="D98" t="s">
        <v>229</v>
      </c>
      <c r="E98" t="s">
        <v>177</v>
      </c>
      <c r="F98" t="s">
        <v>36</v>
      </c>
      <c r="G98" t="s">
        <v>416</v>
      </c>
      <c r="H98">
        <v>178831</v>
      </c>
      <c r="I98" t="s">
        <v>37</v>
      </c>
      <c r="J98" t="s">
        <v>76</v>
      </c>
      <c r="K98" t="s">
        <v>18</v>
      </c>
      <c r="L98" t="s">
        <v>419</v>
      </c>
    </row>
    <row r="99" spans="1:12" x14ac:dyDescent="0.2">
      <c r="A99" s="1">
        <v>45334</v>
      </c>
      <c r="B99" t="s">
        <v>292</v>
      </c>
      <c r="C99" t="s">
        <v>12</v>
      </c>
      <c r="D99" t="s">
        <v>293</v>
      </c>
      <c r="E99" t="s">
        <v>294</v>
      </c>
      <c r="F99" t="s">
        <v>15</v>
      </c>
      <c r="G99" t="s">
        <v>415</v>
      </c>
      <c r="H99">
        <v>48337</v>
      </c>
      <c r="I99" t="s">
        <v>37</v>
      </c>
      <c r="J99" t="s">
        <v>24</v>
      </c>
      <c r="K99" t="s">
        <v>42</v>
      </c>
      <c r="L99" t="s">
        <v>422</v>
      </c>
    </row>
    <row r="100" spans="1:12" x14ac:dyDescent="0.2">
      <c r="A100" s="1">
        <v>45350</v>
      </c>
      <c r="B100" t="s">
        <v>295</v>
      </c>
      <c r="C100" t="s">
        <v>33</v>
      </c>
      <c r="D100" t="s">
        <v>296</v>
      </c>
      <c r="E100" t="s">
        <v>297</v>
      </c>
      <c r="F100" t="s">
        <v>36</v>
      </c>
      <c r="G100" t="s">
        <v>46</v>
      </c>
      <c r="H100">
        <v>71990</v>
      </c>
      <c r="I100" t="s">
        <v>23</v>
      </c>
      <c r="J100" t="s">
        <v>30</v>
      </c>
      <c r="K100" t="s">
        <v>18</v>
      </c>
      <c r="L100" t="s">
        <v>419</v>
      </c>
    </row>
    <row r="101" spans="1:12" x14ac:dyDescent="0.2">
      <c r="A101" s="1">
        <v>45545</v>
      </c>
      <c r="B101" t="s">
        <v>298</v>
      </c>
      <c r="C101" t="s">
        <v>27</v>
      </c>
      <c r="D101" t="s">
        <v>299</v>
      </c>
      <c r="E101" t="s">
        <v>300</v>
      </c>
      <c r="F101" t="s">
        <v>15</v>
      </c>
      <c r="G101" t="s">
        <v>415</v>
      </c>
      <c r="H101">
        <v>199374</v>
      </c>
      <c r="I101" t="s">
        <v>37</v>
      </c>
      <c r="J101" t="s">
        <v>24</v>
      </c>
      <c r="K101" t="s">
        <v>48</v>
      </c>
      <c r="L101" t="s">
        <v>420</v>
      </c>
    </row>
    <row r="102" spans="1:12" x14ac:dyDescent="0.2">
      <c r="A102" s="1">
        <v>45356</v>
      </c>
      <c r="B102" t="s">
        <v>301</v>
      </c>
      <c r="C102" t="s">
        <v>12</v>
      </c>
      <c r="D102" t="s">
        <v>293</v>
      </c>
      <c r="E102" t="s">
        <v>66</v>
      </c>
      <c r="F102" t="s">
        <v>36</v>
      </c>
      <c r="G102" t="s">
        <v>22</v>
      </c>
      <c r="H102">
        <v>132296</v>
      </c>
      <c r="I102" t="s">
        <v>47</v>
      </c>
      <c r="J102" t="s">
        <v>24</v>
      </c>
      <c r="K102" t="s">
        <v>48</v>
      </c>
      <c r="L102" t="s">
        <v>426</v>
      </c>
    </row>
    <row r="103" spans="1:12" x14ac:dyDescent="0.2">
      <c r="A103" s="1">
        <v>45445</v>
      </c>
      <c r="B103" t="s">
        <v>302</v>
      </c>
      <c r="C103" t="s">
        <v>50</v>
      </c>
      <c r="D103" t="s">
        <v>281</v>
      </c>
      <c r="E103" t="s">
        <v>303</v>
      </c>
      <c r="F103" t="s">
        <v>15</v>
      </c>
      <c r="G103" t="s">
        <v>46</v>
      </c>
      <c r="H103">
        <v>148503</v>
      </c>
      <c r="I103" t="s">
        <v>23</v>
      </c>
      <c r="J103" t="s">
        <v>53</v>
      </c>
      <c r="K103" t="s">
        <v>42</v>
      </c>
      <c r="L103" t="s">
        <v>423</v>
      </c>
    </row>
    <row r="104" spans="1:12" x14ac:dyDescent="0.2">
      <c r="A104" s="1">
        <v>45461</v>
      </c>
      <c r="B104" t="s">
        <v>304</v>
      </c>
      <c r="C104" t="s">
        <v>61</v>
      </c>
      <c r="D104" t="s">
        <v>199</v>
      </c>
      <c r="E104" t="s">
        <v>305</v>
      </c>
      <c r="F104" t="s">
        <v>15</v>
      </c>
      <c r="G104" t="s">
        <v>46</v>
      </c>
      <c r="H104">
        <v>66173</v>
      </c>
      <c r="I104" t="s">
        <v>37</v>
      </c>
      <c r="J104" t="s">
        <v>76</v>
      </c>
      <c r="K104" t="s">
        <v>42</v>
      </c>
      <c r="L104" t="s">
        <v>422</v>
      </c>
    </row>
    <row r="105" spans="1:12" x14ac:dyDescent="0.2">
      <c r="A105" s="1">
        <v>45604</v>
      </c>
      <c r="B105" t="s">
        <v>306</v>
      </c>
      <c r="C105" t="s">
        <v>33</v>
      </c>
      <c r="D105" t="s">
        <v>307</v>
      </c>
      <c r="E105" t="s">
        <v>308</v>
      </c>
      <c r="F105" t="s">
        <v>36</v>
      </c>
      <c r="G105" t="s">
        <v>46</v>
      </c>
      <c r="H105">
        <v>134183</v>
      </c>
      <c r="I105" t="s">
        <v>37</v>
      </c>
      <c r="J105" t="s">
        <v>38</v>
      </c>
      <c r="K105" t="s">
        <v>42</v>
      </c>
      <c r="L105" t="s">
        <v>420</v>
      </c>
    </row>
    <row r="106" spans="1:12" x14ac:dyDescent="0.2">
      <c r="A106" s="1">
        <v>45317</v>
      </c>
      <c r="B106" t="s">
        <v>309</v>
      </c>
      <c r="C106" t="s">
        <v>27</v>
      </c>
      <c r="D106" t="s">
        <v>310</v>
      </c>
      <c r="E106" t="s">
        <v>311</v>
      </c>
      <c r="F106" t="s">
        <v>15</v>
      </c>
      <c r="G106" t="s">
        <v>415</v>
      </c>
      <c r="H106">
        <v>138175</v>
      </c>
      <c r="I106" t="s">
        <v>16</v>
      </c>
      <c r="J106" t="s">
        <v>53</v>
      </c>
      <c r="K106" t="s">
        <v>48</v>
      </c>
      <c r="L106" t="s">
        <v>421</v>
      </c>
    </row>
    <row r="107" spans="1:12" x14ac:dyDescent="0.2">
      <c r="A107" s="1">
        <v>45514</v>
      </c>
      <c r="B107" t="s">
        <v>312</v>
      </c>
      <c r="C107" t="s">
        <v>33</v>
      </c>
      <c r="D107" t="s">
        <v>313</v>
      </c>
      <c r="E107" t="s">
        <v>137</v>
      </c>
      <c r="F107" t="s">
        <v>36</v>
      </c>
      <c r="G107" t="s">
        <v>415</v>
      </c>
      <c r="H107">
        <v>27523</v>
      </c>
      <c r="I107" t="s">
        <v>69</v>
      </c>
      <c r="J107" t="s">
        <v>38</v>
      </c>
      <c r="K107" t="s">
        <v>31</v>
      </c>
      <c r="L107" t="s">
        <v>427</v>
      </c>
    </row>
    <row r="108" spans="1:12" x14ac:dyDescent="0.2">
      <c r="A108" s="1">
        <v>45564</v>
      </c>
      <c r="B108" t="s">
        <v>314</v>
      </c>
      <c r="C108" t="s">
        <v>61</v>
      </c>
      <c r="D108" t="s">
        <v>315</v>
      </c>
      <c r="E108" t="s">
        <v>66</v>
      </c>
      <c r="F108" t="s">
        <v>15</v>
      </c>
      <c r="G108" t="s">
        <v>415</v>
      </c>
      <c r="H108">
        <v>87725</v>
      </c>
      <c r="I108" t="s">
        <v>47</v>
      </c>
      <c r="J108" t="s">
        <v>38</v>
      </c>
      <c r="K108" t="s">
        <v>48</v>
      </c>
      <c r="L108" t="s">
        <v>423</v>
      </c>
    </row>
    <row r="109" spans="1:12" x14ac:dyDescent="0.2">
      <c r="A109" s="1">
        <v>45380</v>
      </c>
      <c r="B109" t="s">
        <v>316</v>
      </c>
      <c r="C109" t="s">
        <v>50</v>
      </c>
      <c r="D109" t="s">
        <v>317</v>
      </c>
      <c r="E109" t="s">
        <v>318</v>
      </c>
      <c r="F109" t="s">
        <v>15</v>
      </c>
      <c r="G109" t="s">
        <v>22</v>
      </c>
      <c r="H109">
        <v>70084</v>
      </c>
      <c r="I109" t="s">
        <v>23</v>
      </c>
      <c r="J109" t="s">
        <v>17</v>
      </c>
      <c r="K109" t="s">
        <v>18</v>
      </c>
      <c r="L109" t="s">
        <v>420</v>
      </c>
    </row>
    <row r="110" spans="1:12" x14ac:dyDescent="0.2">
      <c r="A110" s="1">
        <v>45362</v>
      </c>
      <c r="B110" t="s">
        <v>319</v>
      </c>
      <c r="C110" t="s">
        <v>61</v>
      </c>
      <c r="D110" t="s">
        <v>184</v>
      </c>
      <c r="E110" t="s">
        <v>242</v>
      </c>
      <c r="F110" t="s">
        <v>36</v>
      </c>
      <c r="G110" t="s">
        <v>22</v>
      </c>
      <c r="H110">
        <v>82999</v>
      </c>
      <c r="I110" t="s">
        <v>69</v>
      </c>
      <c r="J110" t="s">
        <v>76</v>
      </c>
      <c r="K110" t="s">
        <v>18</v>
      </c>
      <c r="L110" t="s">
        <v>422</v>
      </c>
    </row>
    <row r="111" spans="1:12" x14ac:dyDescent="0.2">
      <c r="A111" s="1">
        <v>45541</v>
      </c>
      <c r="B111" t="s">
        <v>320</v>
      </c>
      <c r="C111" t="s">
        <v>61</v>
      </c>
      <c r="D111" t="s">
        <v>270</v>
      </c>
      <c r="E111" t="s">
        <v>166</v>
      </c>
      <c r="F111" t="s">
        <v>36</v>
      </c>
      <c r="G111" t="s">
        <v>75</v>
      </c>
      <c r="H111">
        <v>44393</v>
      </c>
      <c r="I111" t="s">
        <v>47</v>
      </c>
      <c r="J111" t="s">
        <v>17</v>
      </c>
      <c r="K111" t="s">
        <v>85</v>
      </c>
      <c r="L111" t="s">
        <v>426</v>
      </c>
    </row>
    <row r="112" spans="1:12" x14ac:dyDescent="0.2">
      <c r="A112" s="1">
        <v>45556</v>
      </c>
      <c r="B112" t="s">
        <v>321</v>
      </c>
      <c r="C112" t="s">
        <v>27</v>
      </c>
      <c r="D112" t="s">
        <v>293</v>
      </c>
      <c r="E112" t="s">
        <v>322</v>
      </c>
      <c r="F112" t="s">
        <v>36</v>
      </c>
      <c r="G112" t="s">
        <v>22</v>
      </c>
      <c r="H112">
        <v>116736</v>
      </c>
      <c r="I112" t="s">
        <v>69</v>
      </c>
      <c r="J112" t="s">
        <v>30</v>
      </c>
      <c r="K112" t="s">
        <v>48</v>
      </c>
      <c r="L112" t="s">
        <v>423</v>
      </c>
    </row>
    <row r="113" spans="1:12" x14ac:dyDescent="0.2">
      <c r="A113" s="1">
        <v>45389</v>
      </c>
      <c r="B113" t="s">
        <v>323</v>
      </c>
      <c r="C113" t="s">
        <v>50</v>
      </c>
      <c r="D113" t="s">
        <v>324</v>
      </c>
      <c r="E113" t="s">
        <v>325</v>
      </c>
      <c r="F113" t="s">
        <v>36</v>
      </c>
      <c r="G113" t="s">
        <v>22</v>
      </c>
      <c r="H113">
        <v>106714</v>
      </c>
      <c r="I113" t="s">
        <v>47</v>
      </c>
      <c r="J113" t="s">
        <v>76</v>
      </c>
      <c r="K113" t="s">
        <v>85</v>
      </c>
      <c r="L113" t="s">
        <v>421</v>
      </c>
    </row>
    <row r="114" spans="1:12" x14ac:dyDescent="0.2">
      <c r="A114" s="1">
        <v>45450</v>
      </c>
      <c r="B114" t="s">
        <v>326</v>
      </c>
      <c r="C114" t="s">
        <v>50</v>
      </c>
      <c r="D114" t="s">
        <v>139</v>
      </c>
      <c r="E114" t="s">
        <v>327</v>
      </c>
      <c r="F114" t="s">
        <v>36</v>
      </c>
      <c r="G114" t="s">
        <v>415</v>
      </c>
      <c r="H114">
        <v>80434</v>
      </c>
      <c r="I114" t="s">
        <v>23</v>
      </c>
      <c r="J114" t="s">
        <v>76</v>
      </c>
      <c r="K114" t="s">
        <v>31</v>
      </c>
      <c r="L114" t="s">
        <v>425</v>
      </c>
    </row>
    <row r="115" spans="1:12" x14ac:dyDescent="0.2">
      <c r="A115" s="1">
        <v>45540</v>
      </c>
      <c r="B115" t="s">
        <v>328</v>
      </c>
      <c r="C115" t="s">
        <v>50</v>
      </c>
      <c r="D115" t="s">
        <v>329</v>
      </c>
      <c r="E115" t="s">
        <v>330</v>
      </c>
      <c r="F115" t="s">
        <v>15</v>
      </c>
      <c r="G115" t="s">
        <v>22</v>
      </c>
      <c r="H115">
        <v>68535</v>
      </c>
      <c r="I115" t="s">
        <v>16</v>
      </c>
      <c r="J115" t="s">
        <v>17</v>
      </c>
      <c r="K115" t="s">
        <v>18</v>
      </c>
      <c r="L115" t="s">
        <v>422</v>
      </c>
    </row>
    <row r="116" spans="1:12" x14ac:dyDescent="0.2">
      <c r="A116" s="1">
        <v>45354</v>
      </c>
      <c r="B116" t="s">
        <v>331</v>
      </c>
      <c r="C116" t="s">
        <v>61</v>
      </c>
      <c r="D116" t="s">
        <v>273</v>
      </c>
      <c r="E116" t="s">
        <v>332</v>
      </c>
      <c r="F116" t="s">
        <v>36</v>
      </c>
      <c r="G116" t="s">
        <v>22</v>
      </c>
      <c r="H116">
        <v>157530</v>
      </c>
      <c r="I116" t="s">
        <v>37</v>
      </c>
      <c r="J116" t="s">
        <v>38</v>
      </c>
      <c r="K116" t="s">
        <v>25</v>
      </c>
      <c r="L116" t="s">
        <v>427</v>
      </c>
    </row>
    <row r="117" spans="1:12" x14ac:dyDescent="0.2">
      <c r="A117" s="1">
        <v>45584</v>
      </c>
      <c r="B117" t="s">
        <v>333</v>
      </c>
      <c r="C117" t="s">
        <v>27</v>
      </c>
      <c r="D117" t="s">
        <v>40</v>
      </c>
      <c r="E117" t="s">
        <v>334</v>
      </c>
      <c r="F117" t="s">
        <v>36</v>
      </c>
      <c r="G117" t="s">
        <v>416</v>
      </c>
      <c r="H117">
        <v>114602</v>
      </c>
      <c r="I117" t="s">
        <v>16</v>
      </c>
      <c r="J117" t="s">
        <v>38</v>
      </c>
      <c r="K117" t="s">
        <v>25</v>
      </c>
      <c r="L117" t="s">
        <v>424</v>
      </c>
    </row>
    <row r="118" spans="1:12" x14ac:dyDescent="0.2">
      <c r="A118" s="1">
        <v>45309</v>
      </c>
      <c r="B118" t="s">
        <v>335</v>
      </c>
      <c r="C118" t="s">
        <v>33</v>
      </c>
      <c r="D118" t="s">
        <v>336</v>
      </c>
      <c r="E118" t="s">
        <v>337</v>
      </c>
      <c r="F118" t="s">
        <v>15</v>
      </c>
      <c r="G118" t="s">
        <v>415</v>
      </c>
      <c r="H118">
        <v>31931</v>
      </c>
      <c r="I118" t="s">
        <v>23</v>
      </c>
      <c r="J118" t="s">
        <v>30</v>
      </c>
      <c r="K118" t="s">
        <v>42</v>
      </c>
      <c r="L118" t="s">
        <v>422</v>
      </c>
    </row>
    <row r="119" spans="1:12" x14ac:dyDescent="0.2">
      <c r="A119" s="1">
        <v>45559</v>
      </c>
      <c r="B119" t="s">
        <v>338</v>
      </c>
      <c r="C119" t="s">
        <v>27</v>
      </c>
      <c r="D119" t="s">
        <v>339</v>
      </c>
      <c r="E119" t="s">
        <v>250</v>
      </c>
      <c r="F119" t="s">
        <v>36</v>
      </c>
      <c r="G119" t="s">
        <v>75</v>
      </c>
      <c r="H119">
        <v>23215</v>
      </c>
      <c r="I119" t="s">
        <v>37</v>
      </c>
      <c r="J119" t="s">
        <v>38</v>
      </c>
      <c r="K119" t="s">
        <v>85</v>
      </c>
      <c r="L119" t="s">
        <v>427</v>
      </c>
    </row>
    <row r="120" spans="1:12" x14ac:dyDescent="0.2">
      <c r="A120" s="1">
        <v>45428</v>
      </c>
      <c r="B120" t="s">
        <v>340</v>
      </c>
      <c r="C120" t="s">
        <v>61</v>
      </c>
      <c r="D120" t="s">
        <v>211</v>
      </c>
      <c r="E120" t="s">
        <v>341</v>
      </c>
      <c r="F120" t="s">
        <v>36</v>
      </c>
      <c r="G120" t="s">
        <v>415</v>
      </c>
      <c r="H120">
        <v>68329</v>
      </c>
      <c r="I120" t="s">
        <v>23</v>
      </c>
      <c r="J120" t="s">
        <v>38</v>
      </c>
      <c r="K120" t="s">
        <v>85</v>
      </c>
      <c r="L120" t="s">
        <v>425</v>
      </c>
    </row>
    <row r="121" spans="1:12" x14ac:dyDescent="0.2">
      <c r="A121" s="1">
        <v>45308</v>
      </c>
      <c r="B121" t="s">
        <v>342</v>
      </c>
      <c r="C121" t="s">
        <v>12</v>
      </c>
      <c r="D121" t="s">
        <v>343</v>
      </c>
      <c r="E121" t="s">
        <v>188</v>
      </c>
      <c r="F121" t="s">
        <v>15</v>
      </c>
      <c r="G121" t="s">
        <v>46</v>
      </c>
      <c r="H121">
        <v>148908</v>
      </c>
      <c r="I121" t="s">
        <v>23</v>
      </c>
      <c r="J121" t="s">
        <v>30</v>
      </c>
      <c r="K121" t="s">
        <v>18</v>
      </c>
      <c r="L121" t="s">
        <v>427</v>
      </c>
    </row>
    <row r="122" spans="1:12" x14ac:dyDescent="0.2">
      <c r="A122" s="1">
        <v>45583</v>
      </c>
      <c r="B122" t="s">
        <v>344</v>
      </c>
      <c r="C122" t="s">
        <v>12</v>
      </c>
      <c r="D122" t="s">
        <v>345</v>
      </c>
      <c r="E122" t="s">
        <v>346</v>
      </c>
      <c r="F122" t="s">
        <v>15</v>
      </c>
      <c r="G122" t="s">
        <v>416</v>
      </c>
      <c r="H122">
        <v>167545</v>
      </c>
      <c r="I122" t="s">
        <v>47</v>
      </c>
      <c r="J122" t="s">
        <v>24</v>
      </c>
      <c r="K122" t="s">
        <v>31</v>
      </c>
      <c r="L122" t="s">
        <v>419</v>
      </c>
    </row>
    <row r="123" spans="1:12" x14ac:dyDescent="0.2">
      <c r="A123" s="1">
        <v>45303</v>
      </c>
      <c r="B123" t="s">
        <v>347</v>
      </c>
      <c r="C123" t="s">
        <v>12</v>
      </c>
      <c r="D123" t="s">
        <v>348</v>
      </c>
      <c r="E123" t="s">
        <v>282</v>
      </c>
      <c r="F123" t="s">
        <v>36</v>
      </c>
      <c r="G123" t="s">
        <v>22</v>
      </c>
      <c r="H123">
        <v>176271</v>
      </c>
      <c r="I123" t="s">
        <v>37</v>
      </c>
      <c r="J123" t="s">
        <v>17</v>
      </c>
      <c r="K123" t="s">
        <v>48</v>
      </c>
      <c r="L123" t="s">
        <v>422</v>
      </c>
    </row>
    <row r="124" spans="1:12" x14ac:dyDescent="0.2">
      <c r="A124" s="1">
        <v>45376</v>
      </c>
      <c r="B124" t="s">
        <v>349</v>
      </c>
      <c r="C124" t="s">
        <v>61</v>
      </c>
      <c r="D124" t="s">
        <v>350</v>
      </c>
      <c r="E124" t="s">
        <v>140</v>
      </c>
      <c r="F124" t="s">
        <v>36</v>
      </c>
      <c r="G124" t="s">
        <v>46</v>
      </c>
      <c r="H124">
        <v>97949</v>
      </c>
      <c r="I124" t="s">
        <v>37</v>
      </c>
      <c r="J124" t="s">
        <v>53</v>
      </c>
      <c r="K124" t="s">
        <v>42</v>
      </c>
      <c r="L124" t="s">
        <v>420</v>
      </c>
    </row>
    <row r="125" spans="1:12" x14ac:dyDescent="0.2">
      <c r="A125" s="1">
        <v>45555</v>
      </c>
      <c r="B125" t="s">
        <v>351</v>
      </c>
      <c r="C125" t="s">
        <v>33</v>
      </c>
      <c r="D125" t="s">
        <v>352</v>
      </c>
      <c r="E125" t="s">
        <v>219</v>
      </c>
      <c r="F125" t="s">
        <v>15</v>
      </c>
      <c r="G125" t="s">
        <v>22</v>
      </c>
      <c r="H125">
        <v>46013</v>
      </c>
      <c r="I125" t="s">
        <v>16</v>
      </c>
      <c r="J125" t="s">
        <v>76</v>
      </c>
      <c r="K125" t="s">
        <v>31</v>
      </c>
      <c r="L125" t="s">
        <v>426</v>
      </c>
    </row>
    <row r="126" spans="1:12" x14ac:dyDescent="0.2">
      <c r="A126" s="1">
        <v>45563</v>
      </c>
      <c r="B126" t="s">
        <v>353</v>
      </c>
      <c r="C126" t="s">
        <v>50</v>
      </c>
      <c r="D126" t="s">
        <v>284</v>
      </c>
      <c r="E126" t="s">
        <v>354</v>
      </c>
      <c r="F126" t="s">
        <v>15</v>
      </c>
      <c r="G126" t="s">
        <v>416</v>
      </c>
      <c r="H126">
        <v>82879</v>
      </c>
      <c r="I126" t="s">
        <v>16</v>
      </c>
      <c r="J126" t="s">
        <v>30</v>
      </c>
      <c r="K126" t="s">
        <v>25</v>
      </c>
      <c r="L126" t="s">
        <v>424</v>
      </c>
    </row>
    <row r="127" spans="1:12" x14ac:dyDescent="0.2">
      <c r="A127" s="1">
        <v>45514</v>
      </c>
      <c r="B127" t="s">
        <v>355</v>
      </c>
      <c r="C127" t="s">
        <v>27</v>
      </c>
      <c r="D127" t="s">
        <v>356</v>
      </c>
      <c r="E127" t="s">
        <v>116</v>
      </c>
      <c r="F127" t="s">
        <v>15</v>
      </c>
      <c r="G127" t="s">
        <v>46</v>
      </c>
      <c r="H127">
        <v>138096</v>
      </c>
      <c r="I127" t="s">
        <v>37</v>
      </c>
      <c r="J127" t="s">
        <v>53</v>
      </c>
      <c r="K127" t="s">
        <v>42</v>
      </c>
      <c r="L127" t="s">
        <v>426</v>
      </c>
    </row>
    <row r="128" spans="1:12" x14ac:dyDescent="0.2">
      <c r="A128" s="1">
        <v>45562</v>
      </c>
      <c r="B128" t="s">
        <v>357</v>
      </c>
      <c r="C128" t="s">
        <v>12</v>
      </c>
      <c r="D128" t="s">
        <v>358</v>
      </c>
      <c r="E128" t="s">
        <v>74</v>
      </c>
      <c r="F128" t="s">
        <v>15</v>
      </c>
      <c r="G128" t="s">
        <v>415</v>
      </c>
      <c r="H128">
        <v>94112</v>
      </c>
      <c r="I128" t="s">
        <v>69</v>
      </c>
      <c r="J128" t="s">
        <v>24</v>
      </c>
      <c r="K128" t="s">
        <v>18</v>
      </c>
      <c r="L128" t="s">
        <v>425</v>
      </c>
    </row>
    <row r="129" spans="1:12" x14ac:dyDescent="0.2">
      <c r="A129" s="1">
        <v>45477</v>
      </c>
      <c r="B129" t="s">
        <v>359</v>
      </c>
      <c r="C129" t="s">
        <v>27</v>
      </c>
      <c r="D129" t="s">
        <v>190</v>
      </c>
      <c r="E129" t="s">
        <v>360</v>
      </c>
      <c r="F129" t="s">
        <v>36</v>
      </c>
      <c r="G129" t="s">
        <v>22</v>
      </c>
      <c r="H129">
        <v>193325</v>
      </c>
      <c r="I129" t="s">
        <v>16</v>
      </c>
      <c r="J129" t="s">
        <v>53</v>
      </c>
      <c r="K129" t="s">
        <v>25</v>
      </c>
      <c r="L129" t="s">
        <v>419</v>
      </c>
    </row>
    <row r="130" spans="1:12" x14ac:dyDescent="0.2">
      <c r="A130" s="1">
        <v>45419</v>
      </c>
      <c r="B130" t="s">
        <v>361</v>
      </c>
      <c r="C130" t="s">
        <v>33</v>
      </c>
      <c r="D130" t="s">
        <v>362</v>
      </c>
      <c r="E130" t="s">
        <v>363</v>
      </c>
      <c r="F130" t="s">
        <v>15</v>
      </c>
      <c r="G130" t="s">
        <v>416</v>
      </c>
      <c r="H130">
        <v>89633</v>
      </c>
      <c r="I130" t="s">
        <v>16</v>
      </c>
      <c r="J130" t="s">
        <v>24</v>
      </c>
      <c r="K130" t="s">
        <v>25</v>
      </c>
      <c r="L130" t="s">
        <v>425</v>
      </c>
    </row>
    <row r="131" spans="1:12" x14ac:dyDescent="0.2">
      <c r="A131" s="1">
        <v>45505</v>
      </c>
      <c r="B131" t="s">
        <v>364</v>
      </c>
      <c r="C131" t="s">
        <v>27</v>
      </c>
      <c r="D131" t="s">
        <v>182</v>
      </c>
      <c r="E131" t="s">
        <v>74</v>
      </c>
      <c r="F131" t="s">
        <v>36</v>
      </c>
      <c r="G131" t="s">
        <v>22</v>
      </c>
      <c r="H131">
        <v>169214</v>
      </c>
      <c r="I131" t="s">
        <v>47</v>
      </c>
      <c r="J131" t="s">
        <v>53</v>
      </c>
      <c r="K131" t="s">
        <v>25</v>
      </c>
      <c r="L131" t="s">
        <v>421</v>
      </c>
    </row>
    <row r="132" spans="1:12" x14ac:dyDescent="0.2">
      <c r="A132" s="1">
        <v>45361</v>
      </c>
      <c r="B132" t="s">
        <v>365</v>
      </c>
      <c r="C132" t="s">
        <v>61</v>
      </c>
      <c r="D132" t="s">
        <v>211</v>
      </c>
      <c r="E132" t="s">
        <v>363</v>
      </c>
      <c r="F132" t="s">
        <v>36</v>
      </c>
      <c r="G132" t="s">
        <v>46</v>
      </c>
      <c r="H132">
        <v>91367</v>
      </c>
      <c r="I132" t="s">
        <v>37</v>
      </c>
      <c r="J132" t="s">
        <v>30</v>
      </c>
      <c r="K132" t="s">
        <v>85</v>
      </c>
      <c r="L132" t="s">
        <v>418</v>
      </c>
    </row>
    <row r="133" spans="1:12" x14ac:dyDescent="0.2">
      <c r="A133" s="1">
        <v>45595</v>
      </c>
      <c r="B133" t="s">
        <v>366</v>
      </c>
      <c r="C133" t="s">
        <v>61</v>
      </c>
      <c r="D133" t="s">
        <v>367</v>
      </c>
      <c r="E133" t="s">
        <v>368</v>
      </c>
      <c r="F133" t="s">
        <v>15</v>
      </c>
      <c r="G133" t="s">
        <v>22</v>
      </c>
      <c r="H133">
        <v>30449</v>
      </c>
      <c r="I133" t="s">
        <v>69</v>
      </c>
      <c r="J133" t="s">
        <v>76</v>
      </c>
      <c r="K133" t="s">
        <v>42</v>
      </c>
      <c r="L133" t="s">
        <v>423</v>
      </c>
    </row>
    <row r="134" spans="1:12" x14ac:dyDescent="0.2">
      <c r="A134" s="1">
        <v>45425</v>
      </c>
      <c r="B134" t="s">
        <v>369</v>
      </c>
      <c r="C134" t="s">
        <v>33</v>
      </c>
      <c r="D134" t="s">
        <v>370</v>
      </c>
      <c r="E134" t="s">
        <v>371</v>
      </c>
      <c r="F134" t="s">
        <v>36</v>
      </c>
      <c r="G134" t="s">
        <v>75</v>
      </c>
      <c r="H134">
        <v>43940</v>
      </c>
      <c r="I134" t="s">
        <v>16</v>
      </c>
      <c r="J134" t="s">
        <v>76</v>
      </c>
      <c r="K134" t="s">
        <v>48</v>
      </c>
      <c r="L134" t="s">
        <v>422</v>
      </c>
    </row>
    <row r="135" spans="1:12" x14ac:dyDescent="0.2">
      <c r="A135" s="1">
        <v>45339</v>
      </c>
      <c r="B135" t="s">
        <v>372</v>
      </c>
      <c r="C135" t="s">
        <v>33</v>
      </c>
      <c r="D135" t="s">
        <v>373</v>
      </c>
      <c r="E135" t="s">
        <v>374</v>
      </c>
      <c r="F135" t="s">
        <v>15</v>
      </c>
      <c r="G135" t="s">
        <v>415</v>
      </c>
      <c r="H135">
        <v>171059</v>
      </c>
      <c r="I135" t="s">
        <v>23</v>
      </c>
      <c r="J135" t="s">
        <v>17</v>
      </c>
      <c r="K135" t="s">
        <v>85</v>
      </c>
      <c r="L135" t="s">
        <v>425</v>
      </c>
    </row>
    <row r="136" spans="1:12" x14ac:dyDescent="0.2">
      <c r="A136" s="1">
        <v>45608</v>
      </c>
      <c r="B136" t="s">
        <v>375</v>
      </c>
      <c r="C136" t="s">
        <v>33</v>
      </c>
      <c r="D136" t="s">
        <v>376</v>
      </c>
      <c r="E136" t="s">
        <v>377</v>
      </c>
      <c r="F136" t="s">
        <v>36</v>
      </c>
      <c r="G136" t="s">
        <v>415</v>
      </c>
      <c r="H136">
        <v>67576</v>
      </c>
      <c r="I136" t="s">
        <v>37</v>
      </c>
      <c r="J136" t="s">
        <v>53</v>
      </c>
      <c r="K136" t="s">
        <v>18</v>
      </c>
      <c r="L136" t="s">
        <v>425</v>
      </c>
    </row>
    <row r="137" spans="1:12" x14ac:dyDescent="0.2">
      <c r="A137" s="1">
        <v>45340</v>
      </c>
      <c r="B137" t="s">
        <v>378</v>
      </c>
      <c r="C137" t="s">
        <v>61</v>
      </c>
      <c r="D137" t="s">
        <v>182</v>
      </c>
      <c r="E137" t="s">
        <v>379</v>
      </c>
      <c r="F137" t="s">
        <v>15</v>
      </c>
      <c r="G137" t="s">
        <v>46</v>
      </c>
      <c r="H137">
        <v>111215</v>
      </c>
      <c r="I137" t="s">
        <v>69</v>
      </c>
      <c r="J137" t="s">
        <v>38</v>
      </c>
      <c r="K137" t="s">
        <v>42</v>
      </c>
      <c r="L137" t="s">
        <v>418</v>
      </c>
    </row>
    <row r="138" spans="1:12" x14ac:dyDescent="0.2">
      <c r="A138" s="1">
        <v>45456</v>
      </c>
      <c r="B138" t="s">
        <v>380</v>
      </c>
      <c r="C138" t="s">
        <v>12</v>
      </c>
      <c r="D138" t="s">
        <v>381</v>
      </c>
      <c r="E138" t="s">
        <v>382</v>
      </c>
      <c r="F138" t="s">
        <v>15</v>
      </c>
      <c r="G138" t="s">
        <v>415</v>
      </c>
      <c r="H138">
        <v>127910</v>
      </c>
      <c r="I138" t="s">
        <v>69</v>
      </c>
      <c r="J138" t="s">
        <v>38</v>
      </c>
      <c r="K138" t="s">
        <v>18</v>
      </c>
      <c r="L138" t="s">
        <v>424</v>
      </c>
    </row>
    <row r="139" spans="1:12" x14ac:dyDescent="0.2">
      <c r="A139" s="1">
        <v>45430</v>
      </c>
      <c r="B139" t="s">
        <v>383</v>
      </c>
      <c r="C139" t="s">
        <v>61</v>
      </c>
      <c r="D139" t="s">
        <v>315</v>
      </c>
      <c r="E139" t="s">
        <v>384</v>
      </c>
      <c r="F139" t="s">
        <v>15</v>
      </c>
      <c r="G139" t="s">
        <v>46</v>
      </c>
      <c r="H139">
        <v>43084</v>
      </c>
      <c r="I139" t="s">
        <v>47</v>
      </c>
      <c r="J139" t="s">
        <v>38</v>
      </c>
      <c r="K139" t="s">
        <v>42</v>
      </c>
      <c r="L139" t="s">
        <v>418</v>
      </c>
    </row>
    <row r="140" spans="1:12" x14ac:dyDescent="0.2">
      <c r="A140" s="1">
        <v>45432</v>
      </c>
      <c r="B140" t="s">
        <v>385</v>
      </c>
      <c r="C140" t="s">
        <v>12</v>
      </c>
      <c r="D140" t="s">
        <v>386</v>
      </c>
      <c r="E140" t="s">
        <v>387</v>
      </c>
      <c r="F140" t="s">
        <v>36</v>
      </c>
      <c r="G140" t="s">
        <v>22</v>
      </c>
      <c r="H140">
        <v>20301</v>
      </c>
      <c r="I140" t="s">
        <v>37</v>
      </c>
      <c r="J140" t="s">
        <v>53</v>
      </c>
      <c r="K140" t="s">
        <v>85</v>
      </c>
      <c r="L140" t="s">
        <v>425</v>
      </c>
    </row>
    <row r="141" spans="1:12" x14ac:dyDescent="0.2">
      <c r="A141" s="1">
        <v>45495</v>
      </c>
      <c r="B141" t="s">
        <v>388</v>
      </c>
      <c r="C141" t="s">
        <v>12</v>
      </c>
      <c r="D141" t="s">
        <v>389</v>
      </c>
      <c r="E141" t="s">
        <v>390</v>
      </c>
      <c r="F141" t="s">
        <v>15</v>
      </c>
      <c r="G141" t="s">
        <v>22</v>
      </c>
      <c r="H141">
        <v>114838</v>
      </c>
      <c r="I141" t="s">
        <v>37</v>
      </c>
      <c r="J141" t="s">
        <v>53</v>
      </c>
      <c r="K141" t="s">
        <v>18</v>
      </c>
      <c r="L141" t="s">
        <v>426</v>
      </c>
    </row>
    <row r="142" spans="1:12" x14ac:dyDescent="0.2">
      <c r="A142" s="1">
        <v>45563</v>
      </c>
      <c r="B142" t="s">
        <v>391</v>
      </c>
      <c r="C142" t="s">
        <v>61</v>
      </c>
      <c r="D142" t="s">
        <v>392</v>
      </c>
      <c r="E142" t="s">
        <v>282</v>
      </c>
      <c r="F142" t="s">
        <v>15</v>
      </c>
      <c r="G142" t="s">
        <v>416</v>
      </c>
      <c r="H142">
        <v>90007</v>
      </c>
      <c r="I142" t="s">
        <v>37</v>
      </c>
      <c r="J142" t="s">
        <v>17</v>
      </c>
      <c r="K142" t="s">
        <v>42</v>
      </c>
      <c r="L142" t="s">
        <v>427</v>
      </c>
    </row>
    <row r="143" spans="1:12" x14ac:dyDescent="0.2">
      <c r="A143" s="1">
        <v>45448</v>
      </c>
      <c r="B143" t="s">
        <v>393</v>
      </c>
      <c r="C143" t="s">
        <v>61</v>
      </c>
      <c r="D143" t="s">
        <v>394</v>
      </c>
      <c r="E143" t="s">
        <v>395</v>
      </c>
      <c r="F143" t="s">
        <v>36</v>
      </c>
      <c r="G143" t="s">
        <v>75</v>
      </c>
      <c r="H143">
        <v>27567</v>
      </c>
      <c r="I143" t="s">
        <v>37</v>
      </c>
      <c r="J143" t="s">
        <v>17</v>
      </c>
      <c r="K143" t="s">
        <v>18</v>
      </c>
      <c r="L143" t="s">
        <v>426</v>
      </c>
    </row>
    <row r="144" spans="1:12" x14ac:dyDescent="0.2">
      <c r="A144" s="1">
        <v>45598</v>
      </c>
      <c r="B144" t="s">
        <v>396</v>
      </c>
      <c r="C144" t="s">
        <v>27</v>
      </c>
      <c r="D144" t="s">
        <v>324</v>
      </c>
      <c r="E144" t="s">
        <v>397</v>
      </c>
      <c r="F144" t="s">
        <v>36</v>
      </c>
      <c r="G144" t="s">
        <v>22</v>
      </c>
      <c r="H144">
        <v>23584</v>
      </c>
      <c r="I144" t="s">
        <v>37</v>
      </c>
      <c r="J144" t="s">
        <v>53</v>
      </c>
      <c r="K144" t="s">
        <v>25</v>
      </c>
      <c r="L144" t="s">
        <v>418</v>
      </c>
    </row>
    <row r="145" spans="1:12" x14ac:dyDescent="0.2">
      <c r="A145" s="1">
        <v>45489</v>
      </c>
      <c r="B145" t="s">
        <v>398</v>
      </c>
      <c r="C145" t="s">
        <v>27</v>
      </c>
      <c r="D145" t="s">
        <v>339</v>
      </c>
      <c r="E145" t="s">
        <v>113</v>
      </c>
      <c r="F145" t="s">
        <v>15</v>
      </c>
      <c r="G145" t="s">
        <v>46</v>
      </c>
      <c r="H145">
        <v>50793</v>
      </c>
      <c r="I145" t="s">
        <v>16</v>
      </c>
      <c r="J145" t="s">
        <v>53</v>
      </c>
      <c r="K145" t="s">
        <v>18</v>
      </c>
      <c r="L145" t="s">
        <v>421</v>
      </c>
    </row>
    <row r="146" spans="1:12" x14ac:dyDescent="0.2">
      <c r="A146" s="1">
        <v>45613</v>
      </c>
      <c r="B146" t="s">
        <v>399</v>
      </c>
      <c r="C146" t="s">
        <v>50</v>
      </c>
      <c r="D146" t="s">
        <v>400</v>
      </c>
      <c r="E146" t="s">
        <v>171</v>
      </c>
      <c r="F146" t="s">
        <v>36</v>
      </c>
      <c r="G146" t="s">
        <v>46</v>
      </c>
      <c r="H146">
        <v>146484</v>
      </c>
      <c r="I146" t="s">
        <v>69</v>
      </c>
      <c r="J146" t="s">
        <v>17</v>
      </c>
      <c r="K146" t="s">
        <v>85</v>
      </c>
      <c r="L146" t="s">
        <v>418</v>
      </c>
    </row>
    <row r="147" spans="1:12" x14ac:dyDescent="0.2">
      <c r="A147" s="1">
        <v>45524</v>
      </c>
      <c r="B147" t="s">
        <v>401</v>
      </c>
      <c r="C147" t="s">
        <v>33</v>
      </c>
      <c r="D147" t="s">
        <v>402</v>
      </c>
      <c r="E147" t="s">
        <v>403</v>
      </c>
      <c r="F147" t="s">
        <v>15</v>
      </c>
      <c r="G147" t="s">
        <v>46</v>
      </c>
      <c r="H147">
        <v>69967</v>
      </c>
      <c r="I147" t="s">
        <v>37</v>
      </c>
      <c r="J147" t="s">
        <v>30</v>
      </c>
      <c r="K147" t="s">
        <v>18</v>
      </c>
      <c r="L147" t="s">
        <v>427</v>
      </c>
    </row>
    <row r="148" spans="1:12" x14ac:dyDescent="0.2">
      <c r="A148" s="1">
        <v>45388</v>
      </c>
      <c r="B148" t="s">
        <v>404</v>
      </c>
      <c r="C148" t="s">
        <v>27</v>
      </c>
      <c r="D148" t="s">
        <v>405</v>
      </c>
      <c r="E148" t="s">
        <v>406</v>
      </c>
      <c r="F148" t="s">
        <v>15</v>
      </c>
      <c r="G148" t="s">
        <v>415</v>
      </c>
      <c r="H148">
        <v>128774</v>
      </c>
      <c r="I148" t="s">
        <v>47</v>
      </c>
      <c r="J148" t="s">
        <v>30</v>
      </c>
      <c r="K148" t="s">
        <v>42</v>
      </c>
      <c r="L148" t="s">
        <v>425</v>
      </c>
    </row>
    <row r="149" spans="1:12" x14ac:dyDescent="0.2">
      <c r="A149" s="1">
        <v>45404</v>
      </c>
      <c r="B149" t="s">
        <v>407</v>
      </c>
      <c r="C149" t="s">
        <v>12</v>
      </c>
      <c r="D149" t="s">
        <v>408</v>
      </c>
      <c r="E149" t="s">
        <v>185</v>
      </c>
      <c r="F149" t="s">
        <v>36</v>
      </c>
      <c r="G149" t="s">
        <v>415</v>
      </c>
      <c r="H149">
        <v>173862</v>
      </c>
      <c r="I149" t="s">
        <v>37</v>
      </c>
      <c r="J149" t="s">
        <v>76</v>
      </c>
      <c r="K149" t="s">
        <v>85</v>
      </c>
      <c r="L149" t="s">
        <v>422</v>
      </c>
    </row>
    <row r="150" spans="1:12" x14ac:dyDescent="0.2">
      <c r="A150" s="1">
        <v>45399</v>
      </c>
      <c r="B150" t="s">
        <v>409</v>
      </c>
      <c r="C150" t="s">
        <v>27</v>
      </c>
      <c r="D150" t="s">
        <v>410</v>
      </c>
      <c r="E150" t="s">
        <v>411</v>
      </c>
      <c r="F150" t="s">
        <v>36</v>
      </c>
      <c r="G150" t="s">
        <v>22</v>
      </c>
      <c r="H150">
        <v>146967</v>
      </c>
      <c r="I150" t="s">
        <v>47</v>
      </c>
      <c r="J150" t="s">
        <v>38</v>
      </c>
      <c r="K150" t="s">
        <v>48</v>
      </c>
      <c r="L150" t="s">
        <v>423</v>
      </c>
    </row>
    <row r="151" spans="1:12" x14ac:dyDescent="0.2">
      <c r="A151" s="1">
        <v>45603</v>
      </c>
      <c r="B151" t="s">
        <v>412</v>
      </c>
      <c r="C151" t="s">
        <v>33</v>
      </c>
      <c r="D151" t="s">
        <v>413</v>
      </c>
      <c r="E151" t="s">
        <v>414</v>
      </c>
      <c r="F151" t="s">
        <v>36</v>
      </c>
      <c r="G151" t="s">
        <v>46</v>
      </c>
      <c r="H151">
        <v>104352</v>
      </c>
      <c r="I151" t="s">
        <v>16</v>
      </c>
      <c r="J151" t="s">
        <v>76</v>
      </c>
      <c r="K151" t="s">
        <v>31</v>
      </c>
      <c r="L151" t="s">
        <v>426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03C1C-7789-824F-8C73-206657DB9526}">
  <dimension ref="A1:P95"/>
  <sheetViews>
    <sheetView topLeftCell="A20" workbookViewId="0">
      <selection activeCell="A83" sqref="A83:B94"/>
    </sheetView>
  </sheetViews>
  <sheetFormatPr baseColWidth="10" defaultRowHeight="15" x14ac:dyDescent="0.2"/>
  <cols>
    <col min="1" max="1" width="16.6640625" bestFit="1" customWidth="1"/>
    <col min="2" max="3" width="17.83203125" bestFit="1" customWidth="1"/>
    <col min="16" max="16" width="13.6640625" bestFit="1" customWidth="1"/>
  </cols>
  <sheetData>
    <row r="1" spans="1:3" x14ac:dyDescent="0.2">
      <c r="A1" t="s">
        <v>428</v>
      </c>
    </row>
    <row r="2" spans="1:3" x14ac:dyDescent="0.2">
      <c r="A2" s="8">
        <v>15893493</v>
      </c>
      <c r="B2" s="4">
        <f>GETPIVOTDATA("Monto pagado",$A$1)</f>
        <v>15893493</v>
      </c>
      <c r="C2" s="3">
        <f>B2/12</f>
        <v>1324457.75</v>
      </c>
    </row>
    <row r="8" spans="1:3" x14ac:dyDescent="0.2">
      <c r="A8" t="s">
        <v>429</v>
      </c>
    </row>
    <row r="9" spans="1:3" x14ac:dyDescent="0.2">
      <c r="A9" s="8">
        <v>150</v>
      </c>
      <c r="B9">
        <f>GETPIVOTDATA("Nombre cliente",$A$8)</f>
        <v>150</v>
      </c>
    </row>
    <row r="12" spans="1:3" x14ac:dyDescent="0.2">
      <c r="A12" s="5" t="s">
        <v>430</v>
      </c>
      <c r="B12" t="s">
        <v>428</v>
      </c>
    </row>
    <row r="13" spans="1:3" x14ac:dyDescent="0.2">
      <c r="A13" s="7" t="s">
        <v>75</v>
      </c>
      <c r="B13" s="3">
        <v>2035907</v>
      </c>
    </row>
    <row r="14" spans="1:3" x14ac:dyDescent="0.2">
      <c r="A14" s="7" t="s">
        <v>46</v>
      </c>
      <c r="B14" s="3">
        <v>3404357</v>
      </c>
    </row>
    <row r="15" spans="1:3" x14ac:dyDescent="0.2">
      <c r="A15" s="7" t="s">
        <v>22</v>
      </c>
      <c r="B15" s="3">
        <v>4238188</v>
      </c>
    </row>
    <row r="16" spans="1:3" x14ac:dyDescent="0.2">
      <c r="A16" s="7" t="s">
        <v>415</v>
      </c>
      <c r="B16" s="3">
        <v>3141975</v>
      </c>
    </row>
    <row r="17" spans="1:2" x14ac:dyDescent="0.2">
      <c r="A17" s="7" t="s">
        <v>416</v>
      </c>
      <c r="B17" s="3">
        <v>3073066</v>
      </c>
    </row>
    <row r="18" spans="1:2" x14ac:dyDescent="0.2">
      <c r="A18" s="7" t="s">
        <v>432</v>
      </c>
      <c r="B18" s="3"/>
    </row>
    <row r="19" spans="1:2" x14ac:dyDescent="0.2">
      <c r="A19" s="6" t="s">
        <v>431</v>
      </c>
      <c r="B19" s="8">
        <v>15893493</v>
      </c>
    </row>
    <row r="39" spans="1:2" x14ac:dyDescent="0.2">
      <c r="A39" s="5" t="s">
        <v>430</v>
      </c>
      <c r="B39" t="s">
        <v>428</v>
      </c>
    </row>
    <row r="40" spans="1:2" x14ac:dyDescent="0.2">
      <c r="A40" s="6" t="s">
        <v>195</v>
      </c>
      <c r="B40" s="9">
        <v>198799</v>
      </c>
    </row>
    <row r="41" spans="1:2" x14ac:dyDescent="0.2">
      <c r="A41" s="6" t="s">
        <v>359</v>
      </c>
      <c r="B41" s="9">
        <v>193325</v>
      </c>
    </row>
    <row r="42" spans="1:2" x14ac:dyDescent="0.2">
      <c r="A42" s="6" t="s">
        <v>92</v>
      </c>
      <c r="B42" s="9">
        <v>198706</v>
      </c>
    </row>
    <row r="43" spans="1:2" x14ac:dyDescent="0.2">
      <c r="A43" s="6" t="s">
        <v>298</v>
      </c>
      <c r="B43" s="9">
        <v>199374</v>
      </c>
    </row>
    <row r="44" spans="1:2" x14ac:dyDescent="0.2">
      <c r="A44" s="6" t="s">
        <v>64</v>
      </c>
      <c r="B44" s="9">
        <v>199187</v>
      </c>
    </row>
    <row r="45" spans="1:2" x14ac:dyDescent="0.2">
      <c r="A45" s="6" t="s">
        <v>431</v>
      </c>
      <c r="B45" s="9">
        <v>989391</v>
      </c>
    </row>
    <row r="57" spans="1:16" x14ac:dyDescent="0.2">
      <c r="O57" s="6" t="s">
        <v>420</v>
      </c>
      <c r="P57" s="4">
        <f>GETPIVOTDATA("Monto pagado",$A$60,"Region",A61)</f>
        <v>1678523</v>
      </c>
    </row>
    <row r="58" spans="1:16" x14ac:dyDescent="0.2">
      <c r="O58" s="6" t="s">
        <v>426</v>
      </c>
      <c r="P58" s="4">
        <f>GETPIVOTDATA("Monto pagado",$A$60,"Region",A62)</f>
        <v>1595448</v>
      </c>
    </row>
    <row r="59" spans="1:16" x14ac:dyDescent="0.2">
      <c r="O59" s="6" t="s">
        <v>419</v>
      </c>
      <c r="P59" s="4">
        <f>GETPIVOTDATA("Monto pagado",$A$60,"Region",A63)</f>
        <v>1190932</v>
      </c>
    </row>
    <row r="60" spans="1:16" x14ac:dyDescent="0.2">
      <c r="A60" s="10" t="s">
        <v>430</v>
      </c>
      <c r="B60" t="s">
        <v>428</v>
      </c>
      <c r="O60" s="6" t="s">
        <v>425</v>
      </c>
      <c r="P60" s="4">
        <f>GETPIVOTDATA("Monto pagado",$A$60,"Region",A64)</f>
        <v>1811727</v>
      </c>
    </row>
    <row r="61" spans="1:16" x14ac:dyDescent="0.2">
      <c r="A61" s="6" t="s">
        <v>420</v>
      </c>
      <c r="B61" s="9">
        <v>1678523</v>
      </c>
      <c r="O61" s="6" t="s">
        <v>427</v>
      </c>
      <c r="P61" s="4">
        <f>GETPIVOTDATA("Monto pagado",$A$60,"Region",A65)</f>
        <v>1805427</v>
      </c>
    </row>
    <row r="62" spans="1:16" x14ac:dyDescent="0.2">
      <c r="A62" s="6" t="s">
        <v>426</v>
      </c>
      <c r="B62" s="9">
        <v>1595448</v>
      </c>
      <c r="O62" s="6" t="s">
        <v>424</v>
      </c>
      <c r="P62" s="4">
        <f>GETPIVOTDATA("Monto pagado",$A$60,"Region",A66)</f>
        <v>1692656</v>
      </c>
    </row>
    <row r="63" spans="1:16" x14ac:dyDescent="0.2">
      <c r="A63" s="6" t="s">
        <v>419</v>
      </c>
      <c r="B63" s="9">
        <v>1190932</v>
      </c>
      <c r="O63" s="6" t="s">
        <v>418</v>
      </c>
      <c r="P63" s="4">
        <f>GETPIVOTDATA("Monto pagado",$A$60,"Region",A67)</f>
        <v>1201265</v>
      </c>
    </row>
    <row r="64" spans="1:16" x14ac:dyDescent="0.2">
      <c r="A64" s="6" t="s">
        <v>425</v>
      </c>
      <c r="B64" s="9">
        <v>1811727</v>
      </c>
      <c r="O64" s="6" t="s">
        <v>421</v>
      </c>
      <c r="P64" s="4">
        <f>GETPIVOTDATA("Monto pagado",$A$60,"Region",A68)</f>
        <v>1414885</v>
      </c>
    </row>
    <row r="65" spans="1:16" x14ac:dyDescent="0.2">
      <c r="A65" s="6" t="s">
        <v>427</v>
      </c>
      <c r="B65" s="9">
        <v>1805427</v>
      </c>
      <c r="O65" s="6" t="s">
        <v>422</v>
      </c>
      <c r="P65" s="4">
        <f>GETPIVOTDATA("Monto pagado",$A$60,"Region",A69)</f>
        <v>2173162</v>
      </c>
    </row>
    <row r="66" spans="1:16" x14ac:dyDescent="0.2">
      <c r="A66" s="6" t="s">
        <v>424</v>
      </c>
      <c r="B66" s="9">
        <v>1692656</v>
      </c>
      <c r="O66" s="6" t="s">
        <v>423</v>
      </c>
      <c r="P66" s="4">
        <f>GETPIVOTDATA("Monto pagado",$A$60,"Region",A70)</f>
        <v>1329468</v>
      </c>
    </row>
    <row r="67" spans="1:16" x14ac:dyDescent="0.2">
      <c r="A67" s="6" t="s">
        <v>418</v>
      </c>
      <c r="B67" s="9">
        <v>1201265</v>
      </c>
    </row>
    <row r="68" spans="1:16" x14ac:dyDescent="0.2">
      <c r="A68" s="6" t="s">
        <v>421</v>
      </c>
      <c r="B68" s="9">
        <v>1414885</v>
      </c>
    </row>
    <row r="69" spans="1:16" x14ac:dyDescent="0.2">
      <c r="A69" s="6" t="s">
        <v>422</v>
      </c>
      <c r="B69" s="9">
        <v>2173162</v>
      </c>
    </row>
    <row r="70" spans="1:16" x14ac:dyDescent="0.2">
      <c r="A70" s="6" t="s">
        <v>423</v>
      </c>
      <c r="B70" s="9">
        <v>1329468</v>
      </c>
    </row>
    <row r="71" spans="1:16" x14ac:dyDescent="0.2">
      <c r="A71" s="6" t="s">
        <v>432</v>
      </c>
      <c r="B71" s="9"/>
    </row>
    <row r="72" spans="1:16" x14ac:dyDescent="0.2">
      <c r="A72" s="6" t="s">
        <v>431</v>
      </c>
      <c r="B72" s="9">
        <v>15893493</v>
      </c>
    </row>
    <row r="82" spans="1:2" x14ac:dyDescent="0.2">
      <c r="A82" s="5" t="s">
        <v>430</v>
      </c>
      <c r="B82" t="s">
        <v>428</v>
      </c>
    </row>
    <row r="83" spans="1:2" x14ac:dyDescent="0.2">
      <c r="A83" s="6" t="s">
        <v>433</v>
      </c>
      <c r="B83" s="9">
        <v>1136716</v>
      </c>
    </row>
    <row r="84" spans="1:2" x14ac:dyDescent="0.2">
      <c r="A84" s="6" t="s">
        <v>434</v>
      </c>
      <c r="B84" s="9">
        <v>724241</v>
      </c>
    </row>
    <row r="85" spans="1:2" x14ac:dyDescent="0.2">
      <c r="A85" s="6" t="s">
        <v>435</v>
      </c>
      <c r="B85" s="9">
        <v>2230198</v>
      </c>
    </row>
    <row r="86" spans="1:2" x14ac:dyDescent="0.2">
      <c r="A86" s="6" t="s">
        <v>436</v>
      </c>
      <c r="B86" s="9">
        <v>1948383</v>
      </c>
    </row>
    <row r="87" spans="1:2" x14ac:dyDescent="0.2">
      <c r="A87" s="6" t="s">
        <v>437</v>
      </c>
      <c r="B87" s="9">
        <v>1637270</v>
      </c>
    </row>
    <row r="88" spans="1:2" x14ac:dyDescent="0.2">
      <c r="A88" s="6" t="s">
        <v>438</v>
      </c>
      <c r="B88" s="9">
        <v>1288022</v>
      </c>
    </row>
    <row r="89" spans="1:2" x14ac:dyDescent="0.2">
      <c r="A89" s="6" t="s">
        <v>439</v>
      </c>
      <c r="B89" s="9">
        <v>1024246</v>
      </c>
    </row>
    <row r="90" spans="1:2" x14ac:dyDescent="0.2">
      <c r="A90" s="6" t="s">
        <v>440</v>
      </c>
      <c r="B90" s="9">
        <v>1490179</v>
      </c>
    </row>
    <row r="91" spans="1:2" x14ac:dyDescent="0.2">
      <c r="A91" s="6" t="s">
        <v>441</v>
      </c>
      <c r="B91" s="9">
        <v>1803340</v>
      </c>
    </row>
    <row r="92" spans="1:2" x14ac:dyDescent="0.2">
      <c r="A92" s="6" t="s">
        <v>442</v>
      </c>
      <c r="B92" s="9">
        <v>845800</v>
      </c>
    </row>
    <row r="93" spans="1:2" x14ac:dyDescent="0.2">
      <c r="A93" s="6" t="s">
        <v>443</v>
      </c>
      <c r="B93" s="9">
        <v>1634881</v>
      </c>
    </row>
    <row r="94" spans="1:2" x14ac:dyDescent="0.2">
      <c r="A94" s="6" t="s">
        <v>444</v>
      </c>
      <c r="B94" s="9">
        <v>130217</v>
      </c>
    </row>
    <row r="95" spans="1:2" x14ac:dyDescent="0.2">
      <c r="A95" s="6" t="s">
        <v>431</v>
      </c>
      <c r="B95" s="9">
        <v>15893493</v>
      </c>
    </row>
  </sheetData>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DC87C-2389-3F46-9CBA-C496535C49FE}">
  <dimension ref="A1"/>
  <sheetViews>
    <sheetView tabSelected="1" zoomScale="83" workbookViewId="0">
      <selection activeCell="V12" sqref="V12"/>
    </sheetView>
  </sheetViews>
  <sheetFormatPr baseColWidth="10" defaultRowHeight="15" x14ac:dyDescent="0.2"/>
  <cols>
    <col min="1" max="16384" width="10.83203125" style="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vt:lpstr>
      <vt:lpstr>x!</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Andrés Duarte</dc:creator>
  <cp:lastModifiedBy>Lugo, Adriana</cp:lastModifiedBy>
  <dcterms:created xsi:type="dcterms:W3CDTF">2025-05-29T18:03:56Z</dcterms:created>
  <dcterms:modified xsi:type="dcterms:W3CDTF">2025-07-27T16:49:24Z</dcterms:modified>
</cp:coreProperties>
</file>